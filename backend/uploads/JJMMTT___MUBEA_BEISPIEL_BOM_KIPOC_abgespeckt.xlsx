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always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kp.CSI\Downloads\"/>
    </mc:Choice>
  </mc:AlternateContent>
  <xr:revisionPtr revIDLastSave="0" documentId="13_ncr:1_{7F9364B8-413E-4ABB-A1A5-A9C06B5F74EE}" xr6:coauthVersionLast="47" xr6:coauthVersionMax="47" xr10:uidLastSave="{00000000-0000-0000-0000-000000000000}"/>
  <bookViews>
    <workbookView xWindow="28680" yWindow="-120" windowWidth="51840" windowHeight="21120" xr2:uid="{4F777920-6EF3-48A4-862C-8FA1D9AA837F}"/>
  </bookViews>
  <sheets>
    <sheet name="V1.0" sheetId="29" r:id="rId1"/>
    <sheet name="Tabelle2" sheetId="31" state="hidden" r:id="rId2"/>
    <sheet name="Normteile" sheetId="10" r:id="rId3"/>
    <sheet name="Dropdown" sheetId="2" r:id="rId4"/>
    <sheet name="Bauteilbenennung" sheetId="34" r:id="rId5"/>
  </sheets>
  <definedNames>
    <definedName name="_xlnm._FilterDatabase" localSheetId="3" hidden="1">Dropdown!$L$2:$L$7</definedName>
    <definedName name="_xlnm._FilterDatabase" localSheetId="2" hidden="1">Normteile!$A$5:$R$288</definedName>
    <definedName name="_xlnm._FilterDatabase" localSheetId="0" hidden="1">'V1.0'!$A$2:$M$11</definedName>
    <definedName name="_FilterDatenbank1" localSheetId="0" hidden="1">'V1.0'!$A$3:$M$10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M4" i="29" l="1"/>
  <c r="M5" i="29"/>
  <c r="M6" i="29"/>
  <c r="M7" i="29"/>
  <c r="M8" i="29"/>
  <c r="M9" i="29"/>
  <c r="E4" i="29" l="1"/>
  <c r="E5" i="29"/>
  <c r="E6" i="29"/>
  <c r="E7" i="29"/>
  <c r="E8" i="29"/>
  <c r="E9" i="29"/>
  <c r="E10" i="29"/>
  <c r="D4" i="29"/>
  <c r="D5" i="29"/>
  <c r="D6" i="29"/>
  <c r="D7" i="29"/>
  <c r="D8" i="29"/>
  <c r="D9" i="29"/>
  <c r="D10" i="29"/>
  <c r="C4" i="29"/>
  <c r="C5" i="29"/>
  <c r="C6" i="29"/>
  <c r="C7" i="29"/>
  <c r="C8" i="29"/>
  <c r="C9" i="29"/>
  <c r="C10" i="29"/>
  <c r="A2" i="29" l="1"/>
  <c r="B2" i="29"/>
  <c r="C2" i="29"/>
  <c r="D2" i="29"/>
  <c r="F2" i="29"/>
  <c r="G2" i="29"/>
  <c r="H2" i="29"/>
  <c r="I2" i="29"/>
  <c r="J2" i="29"/>
  <c r="K2" i="29"/>
  <c r="L2" i="29"/>
  <c r="M2" i="29"/>
  <c r="L274" i="10" l="1"/>
  <c r="L273" i="10"/>
  <c r="E2" i="29" l="1"/>
  <c r="L268" i="10" l="1"/>
  <c r="T30" i="34" l="1"/>
  <c r="S30" i="34"/>
  <c r="Q30" i="34" s="1"/>
  <c r="V30" i="34" s="1"/>
  <c r="T29" i="34"/>
  <c r="S29" i="34"/>
  <c r="Q29" i="34" s="1"/>
  <c r="V29" i="34" s="1"/>
  <c r="T28" i="34"/>
  <c r="S28" i="34"/>
  <c r="Q28" i="34" s="1"/>
  <c r="V28" i="34" s="1"/>
  <c r="T27" i="34"/>
  <c r="S27" i="34"/>
  <c r="T26" i="34"/>
  <c r="S26" i="34"/>
  <c r="Q26" i="34" s="1"/>
  <c r="V26" i="34" s="1"/>
  <c r="T25" i="34"/>
  <c r="S25" i="34"/>
  <c r="Q25" i="34" s="1"/>
  <c r="V25" i="34" s="1"/>
  <c r="T24" i="34"/>
  <c r="S24" i="34"/>
  <c r="Q24" i="34" s="1"/>
  <c r="V24" i="34" s="1"/>
  <c r="T23" i="34"/>
  <c r="S23" i="34"/>
  <c r="T22" i="34"/>
  <c r="S22" i="34"/>
  <c r="Q22" i="34" s="1"/>
  <c r="V22" i="34" s="1"/>
  <c r="T21" i="34"/>
  <c r="S21" i="34"/>
  <c r="Q21" i="34" s="1"/>
  <c r="V21" i="34" s="1"/>
  <c r="T20" i="34"/>
  <c r="S20" i="34"/>
  <c r="Q20" i="34"/>
  <c r="V20" i="34" s="1"/>
  <c r="T19" i="34"/>
  <c r="S19" i="34"/>
  <c r="T18" i="34"/>
  <c r="S18" i="34"/>
  <c r="Q18" i="34" s="1"/>
  <c r="V18" i="34" s="1"/>
  <c r="T17" i="34"/>
  <c r="S17" i="34"/>
  <c r="Q17" i="34" s="1"/>
  <c r="V17" i="34" s="1"/>
  <c r="T16" i="34"/>
  <c r="S16" i="34"/>
  <c r="Q16" i="34" s="1"/>
  <c r="V16" i="34" s="1"/>
  <c r="T15" i="34"/>
  <c r="S15" i="34"/>
  <c r="T14" i="34"/>
  <c r="S14" i="34"/>
  <c r="Q14" i="34" s="1"/>
  <c r="V14" i="34" s="1"/>
  <c r="T13" i="34"/>
  <c r="S13" i="34"/>
  <c r="Q13" i="34" s="1"/>
  <c r="V13" i="34" s="1"/>
  <c r="T12" i="34"/>
  <c r="S12" i="34"/>
  <c r="Q12" i="34"/>
  <c r="V12" i="34" s="1"/>
  <c r="T11" i="34"/>
  <c r="S11" i="34"/>
  <c r="T10" i="34"/>
  <c r="S10" i="34"/>
  <c r="Q10" i="34"/>
  <c r="V10" i="34" s="1"/>
  <c r="T9" i="34"/>
  <c r="S9" i="34"/>
  <c r="Q9" i="34" s="1"/>
  <c r="V9" i="34" s="1"/>
  <c r="T8" i="34"/>
  <c r="S8" i="34"/>
  <c r="Q8" i="34" s="1"/>
  <c r="V8" i="34" s="1"/>
  <c r="T7" i="34"/>
  <c r="S7" i="34"/>
  <c r="T6" i="34"/>
  <c r="S6" i="34"/>
  <c r="T5" i="34"/>
  <c r="S5" i="34"/>
  <c r="Q5" i="34" s="1"/>
  <c r="V5" i="34" s="1"/>
  <c r="T4" i="34"/>
  <c r="S4" i="34"/>
  <c r="Q4" i="34"/>
  <c r="V4" i="34" s="1"/>
  <c r="Q19" i="34" l="1"/>
  <c r="V19" i="34" s="1"/>
  <c r="Q7" i="34"/>
  <c r="V7" i="34" s="1"/>
  <c r="Q27" i="34"/>
  <c r="V27" i="34" s="1"/>
  <c r="Q23" i="34"/>
  <c r="V23" i="34" s="1"/>
  <c r="Q15" i="34"/>
  <c r="V15" i="34" s="1"/>
  <c r="Q11" i="34"/>
  <c r="V11" i="34" s="1"/>
  <c r="Q6" i="34"/>
  <c r="V6" i="34" s="1"/>
  <c r="H10" i="31" l="1"/>
  <c r="H9" i="31"/>
  <c r="H8" i="31"/>
  <c r="H7" i="31"/>
  <c r="G8" i="31"/>
  <c r="G9" i="31"/>
  <c r="G10" i="31"/>
  <c r="G7" i="31"/>
  <c r="J5" i="31"/>
  <c r="L5" i="31" s="1"/>
  <c r="N5" i="31" s="1"/>
  <c r="P5" i="31" s="1"/>
  <c r="R5" i="31" s="1"/>
  <c r="T5" i="31" s="1"/>
  <c r="V5" i="31" s="1"/>
  <c r="X5" i="31" s="1"/>
  <c r="Z5" i="31" s="1"/>
  <c r="AB5" i="31" s="1"/>
  <c r="AD5" i="31" s="1"/>
  <c r="AF5" i="31" s="1"/>
  <c r="AH5" i="31" s="1"/>
  <c r="J4" i="31"/>
  <c r="L4" i="31" s="1"/>
  <c r="N4" i="31" s="1"/>
  <c r="P4" i="31" s="1"/>
  <c r="R4" i="31" s="1"/>
  <c r="T4" i="31" s="1"/>
  <c r="V4" i="31" s="1"/>
  <c r="X4" i="31" s="1"/>
  <c r="Z4" i="31" s="1"/>
  <c r="AB4" i="31" s="1"/>
  <c r="AD4" i="31" s="1"/>
  <c r="AF4" i="31" s="1"/>
  <c r="AH4" i="31" s="1"/>
  <c r="I5" i="31"/>
  <c r="K5" i="31" s="1"/>
  <c r="M5" i="31" s="1"/>
  <c r="O5" i="31" s="1"/>
  <c r="Q5" i="31" s="1"/>
  <c r="S5" i="31" s="1"/>
  <c r="U5" i="31" s="1"/>
  <c r="W5" i="31" s="1"/>
  <c r="Y5" i="31" s="1"/>
  <c r="AA5" i="31" s="1"/>
  <c r="AC5" i="31" s="1"/>
  <c r="AE5" i="31" s="1"/>
  <c r="AG5" i="31" s="1"/>
  <c r="AI5" i="31" s="1"/>
  <c r="I4" i="31"/>
  <c r="K4" i="31" s="1"/>
  <c r="M4" i="31" s="1"/>
  <c r="O4" i="31" s="1"/>
  <c r="Q4" i="31" s="1"/>
  <c r="S4" i="31" s="1"/>
  <c r="U4" i="31" s="1"/>
  <c r="W4" i="31" s="1"/>
  <c r="Y4" i="31" s="1"/>
  <c r="AA4" i="31" s="1"/>
  <c r="AC4" i="31" s="1"/>
  <c r="AE4" i="31" s="1"/>
  <c r="AG4" i="31" s="1"/>
  <c r="AI4" i="31" s="1"/>
  <c r="M10" i="29" l="1"/>
  <c r="E3" i="29"/>
  <c r="D3" i="29"/>
  <c r="C3" i="29"/>
  <c r="L188" i="10" l="1"/>
  <c r="L209" i="10" l="1"/>
  <c r="L206" i="10"/>
  <c r="L190" i="10"/>
  <c r="L189" i="10"/>
  <c r="L204" i="10" l="1"/>
  <c r="L159" i="10" l="1"/>
  <c r="L158" i="10"/>
  <c r="L148" i="10" l="1"/>
  <c r="L149" i="10"/>
  <c r="L150" i="10"/>
  <c r="L151" i="10"/>
  <c r="L152" i="10"/>
  <c r="L153" i="10"/>
  <c r="L154" i="10"/>
  <c r="L155" i="10"/>
  <c r="L156" i="10"/>
  <c r="L157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Q40" i="2"/>
  <c r="E268" i="10" l="1"/>
  <c r="E141" i="10" l="1"/>
  <c r="E6" i="10"/>
  <c r="E216" i="10"/>
  <c r="E215" i="10"/>
  <c r="E214" i="10"/>
  <c r="E213" i="10"/>
  <c r="E176" i="10"/>
  <c r="E171" i="10"/>
  <c r="E173" i="10"/>
  <c r="E174" i="10"/>
  <c r="E175" i="10"/>
  <c r="E172" i="10"/>
  <c r="E122" i="10"/>
  <c r="E170" i="10"/>
  <c r="E169" i="10"/>
  <c r="E167" i="10"/>
  <c r="E166" i="10"/>
  <c r="E168" i="10"/>
  <c r="E164" i="10"/>
  <c r="E165" i="10"/>
  <c r="E163" i="10"/>
  <c r="E162" i="10"/>
  <c r="E161" i="10"/>
  <c r="E160" i="10"/>
  <c r="E159" i="10"/>
  <c r="E158" i="10"/>
  <c r="E145" i="10" l="1"/>
  <c r="E144" i="10"/>
  <c r="E143" i="10"/>
  <c r="E142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46" i="10"/>
  <c r="E148" i="10"/>
  <c r="E149" i="10"/>
  <c r="E150" i="10"/>
  <c r="E151" i="10"/>
  <c r="E152" i="10"/>
  <c r="E153" i="10"/>
  <c r="E154" i="10"/>
  <c r="E155" i="10"/>
  <c r="E156" i="10"/>
  <c r="E157" i="10"/>
  <c r="E147" i="10"/>
  <c r="E20" i="10"/>
  <c r="E117" i="10"/>
  <c r="E121" i="10"/>
  <c r="E7" i="10"/>
  <c r="E104" i="10"/>
  <c r="E27" i="10"/>
  <c r="E29" i="10"/>
  <c r="E63" i="10"/>
  <c r="E49" i="10"/>
  <c r="E52" i="10"/>
  <c r="E54" i="10"/>
  <c r="E120" i="10"/>
  <c r="E43" i="10"/>
  <c r="E45" i="10"/>
  <c r="E79" i="10"/>
  <c r="E65" i="10"/>
  <c r="E68" i="10"/>
  <c r="E86" i="10"/>
  <c r="E39" i="10"/>
  <c r="E58" i="10"/>
  <c r="E59" i="10"/>
  <c r="E61" i="10"/>
  <c r="E95" i="10"/>
  <c r="E81" i="10"/>
  <c r="E84" i="10"/>
  <c r="E118" i="10"/>
  <c r="E55" i="10"/>
  <c r="E9" i="10"/>
  <c r="E75" i="10"/>
  <c r="E77" i="10"/>
  <c r="E111" i="10"/>
  <c r="E97" i="10"/>
  <c r="E100" i="10"/>
  <c r="E36" i="10"/>
  <c r="E71" i="10"/>
  <c r="E25" i="10"/>
  <c r="E91" i="10"/>
  <c r="E93" i="10"/>
  <c r="E98" i="10"/>
  <c r="E113" i="10"/>
  <c r="E116" i="10"/>
  <c r="E47" i="10"/>
  <c r="E87" i="10"/>
  <c r="E41" i="10"/>
  <c r="E107" i="10"/>
  <c r="E109" i="10"/>
  <c r="E16" i="10"/>
  <c r="E18" i="10"/>
  <c r="E38" i="10"/>
  <c r="E13" i="10"/>
  <c r="E103" i="10"/>
  <c r="E57" i="10"/>
  <c r="E108" i="10"/>
  <c r="E14" i="10"/>
  <c r="E32" i="10"/>
  <c r="E50" i="10"/>
  <c r="E70" i="10"/>
  <c r="E119" i="10"/>
  <c r="E73" i="10"/>
  <c r="E66" i="10"/>
  <c r="E30" i="10"/>
  <c r="E48" i="10"/>
  <c r="E19" i="10"/>
  <c r="E102" i="10"/>
  <c r="E42" i="10"/>
  <c r="E89" i="10"/>
  <c r="E12" i="10"/>
  <c r="E46" i="10"/>
  <c r="E64" i="10"/>
  <c r="E35" i="10"/>
  <c r="E21" i="10"/>
  <c r="E90" i="10"/>
  <c r="E105" i="10"/>
  <c r="E28" i="10"/>
  <c r="E62" i="10"/>
  <c r="E80" i="10"/>
  <c r="E51" i="10"/>
  <c r="E37" i="10"/>
  <c r="E8" i="10"/>
  <c r="E44" i="10"/>
  <c r="E78" i="10"/>
  <c r="E96" i="10"/>
  <c r="E67" i="10"/>
  <c r="E53" i="10"/>
  <c r="E22" i="10"/>
  <c r="E24" i="10"/>
  <c r="E26" i="10"/>
  <c r="E60" i="10"/>
  <c r="E94" i="10"/>
  <c r="E112" i="10"/>
  <c r="E83" i="10"/>
  <c r="E69" i="10"/>
  <c r="E88" i="10"/>
  <c r="E40" i="10"/>
  <c r="E106" i="10"/>
  <c r="E76" i="10"/>
  <c r="E110" i="10"/>
  <c r="E34" i="10"/>
  <c r="E99" i="10"/>
  <c r="E85" i="10"/>
  <c r="E11" i="10"/>
  <c r="E56" i="10"/>
  <c r="E10" i="10"/>
  <c r="E92" i="10"/>
  <c r="E15" i="10"/>
  <c r="E114" i="10"/>
  <c r="E115" i="10"/>
  <c r="E101" i="10"/>
  <c r="E33" i="10"/>
  <c r="E72" i="10"/>
  <c r="E74" i="10"/>
  <c r="E82" i="10"/>
  <c r="E31" i="10"/>
  <c r="E17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S2" authorId="0" shapeId="0" xr:uid="{4C38D31B-8C80-4979-AFE6-6BE56BDC14F9}">
      <text>
        <r>
          <rPr>
            <sz val="11"/>
            <color rgb="FF000000"/>
            <rFont val="Calibri"/>
            <family val="2"/>
            <charset val="1"/>
          </rPr>
          <t xml:space="preserve">Erläuterung Teilenummer
</t>
        </r>
        <r>
          <rPr>
            <sz val="9"/>
            <color rgb="FF000000"/>
            <rFont val="Segoe UI"/>
            <family val="2"/>
          </rPr>
          <t>123_456_789
123 = Fahrzeug
456 = Hauptbaugruppe
789 = Nummer Einzelteil</t>
        </r>
      </text>
    </comment>
  </commentList>
</comments>
</file>

<file path=xl/sharedStrings.xml><?xml version="1.0" encoding="utf-8"?>
<sst xmlns="http://schemas.openxmlformats.org/spreadsheetml/2006/main" count="3290" uniqueCount="1433">
  <si>
    <t>-</t>
  </si>
  <si>
    <t xml:space="preserve"> </t>
  </si>
  <si>
    <t> </t>
  </si>
  <si>
    <t>Bereich</t>
  </si>
  <si>
    <t>ZSB_TRAEGERMODUL</t>
  </si>
  <si>
    <t>SPRENGRING_SB_D25_WN_490</t>
  </si>
  <si>
    <t>999_000_318</t>
  </si>
  <si>
    <t>999_000_106</t>
  </si>
  <si>
    <t>SCHEIBE_M8_DIN_125A_125VZ8,4</t>
  </si>
  <si>
    <t>999_000_016</t>
  </si>
  <si>
    <t>SECHSKANTSCHRAUBE_M8x230_ISO_4014_10.9</t>
  </si>
  <si>
    <t>999_000_346</t>
  </si>
  <si>
    <t>SECHSKANTMUTTER_M8_DIN_982_9828VZ8</t>
  </si>
  <si>
    <t>999_000_026</t>
  </si>
  <si>
    <t>SICHERUNGSRING_47X1,75_DIN_472</t>
  </si>
  <si>
    <t>999_000_316</t>
  </si>
  <si>
    <t>SICHERUNGSRING (RADLAGER - DIN 472 - 60 x 2)</t>
  </si>
  <si>
    <t>999_000_223</t>
  </si>
  <si>
    <t>RADBOLZEN_MIT_RIFFELBUND (M10x1.25x35 - RIFFELUNG Ø12x6)</t>
  </si>
  <si>
    <t>999_000_202</t>
  </si>
  <si>
    <t>RADMUTTER_MIT_KONUS (M10x1.25 H15, KONUS 60°)</t>
  </si>
  <si>
    <t>999_000_203</t>
  </si>
  <si>
    <t>HALBRUNDKOPFSCHRAUBE_BUND_TORX_M8_DIN34805-2_0098040860</t>
  </si>
  <si>
    <t>999_000_342</t>
  </si>
  <si>
    <t>999_000_208</t>
  </si>
  <si>
    <t>SECHSKANTSCHRAUBE_FLANSCH_M8x65_10.9_DIN_6921</t>
  </si>
  <si>
    <t>999_000_389</t>
  </si>
  <si>
    <t>999_000_206</t>
  </si>
  <si>
    <t>SCHEIBE_M12_DIN_9021_9021VZ13</t>
  </si>
  <si>
    <t>999_000_117</t>
  </si>
  <si>
    <t>999_000_215</t>
  </si>
  <si>
    <t>999_000_011</t>
  </si>
  <si>
    <t>SECHSKANTSCHRAUBE_M10x50_WN_274_027401050 (Selbstsichernd)</t>
  </si>
  <si>
    <t>999_000_388</t>
  </si>
  <si>
    <t>SECHSKANTMUTTER_M10_DIN982_9828VZ10</t>
  </si>
  <si>
    <t>999_000_350</t>
  </si>
  <si>
    <t>PASSFEDER_6x6x25_DIN_6885_68856625</t>
  </si>
  <si>
    <t>999_000_380</t>
  </si>
  <si>
    <t>SICHERUNGSRING_19_DIN_471</t>
  </si>
  <si>
    <t>999_000_379</t>
  </si>
  <si>
    <t>SICHERUNGSRING_25X1,2_DIN_471</t>
  </si>
  <si>
    <t>999_000_317</t>
  </si>
  <si>
    <t>Schweißen</t>
  </si>
  <si>
    <t>?</t>
  </si>
  <si>
    <t>FLANSCHLAGER_EFOM-30</t>
  </si>
  <si>
    <t>IGUS_CLIPS-GELENKLAGER__EGFM-30-T</t>
  </si>
  <si>
    <t>PASSSCHRAUBE_ISO_7379_8_M6_30_NI</t>
  </si>
  <si>
    <t>Setzmutter_M8_51010VZ8</t>
  </si>
  <si>
    <t>SCHEIBE_M10_DIN_9021_9021VZ10,5</t>
  </si>
  <si>
    <t>Sechskantschraube_M10x170_ISO_4017</t>
  </si>
  <si>
    <t>SICHSCHR_RIPPLOCK_M8X45_W158100VZ845</t>
  </si>
  <si>
    <t>SICHERUNGSMUTTER_M10_DIN_985_985810</t>
  </si>
  <si>
    <t>SCHEIBE_M10_DIN_125A_125VZ10,5</t>
  </si>
  <si>
    <t>SCHEIBE_M8_DIN_9021_9021VZ8,4</t>
  </si>
  <si>
    <t>LINSENSCHRAUBE_TX_M6x35_10.9_ISO_1484</t>
  </si>
  <si>
    <t>SICHERUNGSMUTTER_RIPPLOCK_M5_W193100VZ5</t>
  </si>
  <si>
    <t>SCHEIBE_M5_DIN_125A_125VZ5,3</t>
  </si>
  <si>
    <t>SECHSKANTMUTTER_M6_DIN982_9828VZ6</t>
  </si>
  <si>
    <t>SCHEIBE_M8_DIN_7349_7349VZ8,4</t>
  </si>
  <si>
    <t>SECHSKANTMUTTER_M5_ISO_4032_40328VZ5</t>
  </si>
  <si>
    <t>SCHEIBE_M4_DIN_125A_125VZ4,3</t>
  </si>
  <si>
    <t>GUMMISCHEIBE_6,5X20X3_WURTH_042236520</t>
  </si>
  <si>
    <t>SICHERUNGSRING_32X1,2_DIN_472</t>
  </si>
  <si>
    <t>SCHEIBE_M6_DIN_125A_125VZ6,4</t>
  </si>
  <si>
    <t>SCHEIBE_M5_DIN_9021_9021VZ5,3</t>
  </si>
  <si>
    <t>SPRENGRING_SW_D55_WN_490</t>
  </si>
  <si>
    <t>KABELBINDER 280x3,5MM SCHWARZ</t>
  </si>
  <si>
    <t>SECHSKANTMUTTER_M8_DIN_985_98588</t>
  </si>
  <si>
    <t>SCHEIBE M6 (DIN 125 A)</t>
  </si>
  <si>
    <t>KABELBINDER 140x3,5MM SCHWARZ</t>
  </si>
  <si>
    <t>SECHSKANTMUTTER_M8_ISO_4032_403210VZ8</t>
  </si>
  <si>
    <t>SECHSKANTMUTTER_M4_ISO_4032_40328VZ4</t>
  </si>
  <si>
    <t>Material-
nummer</t>
  </si>
  <si>
    <t>Version/Revisonsnr.</t>
  </si>
  <si>
    <t>Fertigungsverfahren</t>
  </si>
  <si>
    <t>Werkstoff</t>
  </si>
  <si>
    <t>Beschichtung</t>
  </si>
  <si>
    <t>Dichte</t>
  </si>
  <si>
    <t>Material-stärke</t>
  </si>
  <si>
    <t>Anzahl</t>
  </si>
  <si>
    <t>Gewicht</t>
  </si>
  <si>
    <t>∑</t>
  </si>
  <si>
    <t>999_000_407</t>
  </si>
  <si>
    <t>Einschlagmutter TS - M6 x 12 verzinkt</t>
  </si>
  <si>
    <t>Freigabestand</t>
  </si>
  <si>
    <t>siehe Kauf-/Normteil</t>
  </si>
  <si>
    <t>Im ZSB</t>
  </si>
  <si>
    <t>04</t>
  </si>
  <si>
    <t>LTR</t>
  </si>
  <si>
    <t>ZSB</t>
  </si>
  <si>
    <t>Montageausschuss</t>
  </si>
  <si>
    <t>Lieferant</t>
  </si>
  <si>
    <t>Profilteil</t>
  </si>
  <si>
    <t>EW AW 6060-T66</t>
  </si>
  <si>
    <t>Dreh-/Frästeil</t>
  </si>
  <si>
    <t>Laserteil</t>
  </si>
  <si>
    <t>EN AW - 5754 - H111</t>
  </si>
  <si>
    <t>Spritzgussteil</t>
  </si>
  <si>
    <t>Gussteil</t>
  </si>
  <si>
    <t>Prototypenstand</t>
  </si>
  <si>
    <t>Aluminium</t>
  </si>
  <si>
    <t xml:space="preserve">KTL - Schichtdicke 25 ±5 μm </t>
  </si>
  <si>
    <t>EN AW 6082 T6</t>
  </si>
  <si>
    <t>Thermoformingteil</t>
  </si>
  <si>
    <t>Fahrradkomponente</t>
  </si>
  <si>
    <t>Kantteil</t>
  </si>
  <si>
    <t>Stahl</t>
  </si>
  <si>
    <t>ZnNi passiviert oä. | Min. 480h Salzsprühnebel - Soll 720h | Reibwert µ=0.08 bis 0.16</t>
  </si>
  <si>
    <t>Tiefziehteil</t>
  </si>
  <si>
    <t>HC420LA</t>
  </si>
  <si>
    <t>Arbeitsstand</t>
  </si>
  <si>
    <t>Schweißgruppe</t>
  </si>
  <si>
    <t>EN AW - 6082 - T6</t>
  </si>
  <si>
    <t>Anbauteile Kategorie 2</t>
  </si>
  <si>
    <t>S235JR</t>
  </si>
  <si>
    <t>EN AW - 7075 - T6</t>
  </si>
  <si>
    <t>Harteloxiert - Schichtdicke 25 ±5 μm -  Schwarz</t>
  </si>
  <si>
    <t>EN AW - 6060 - T6</t>
  </si>
  <si>
    <t>999_000_075</t>
  </si>
  <si>
    <t>RIVKLE_STANDARD_GERAENDELT_M8_WS_4,5-6_23317080600</t>
  </si>
  <si>
    <t>Normteile</t>
  </si>
  <si>
    <t>999_000_323</t>
  </si>
  <si>
    <t>RIVKLE_STANDART_GERAENDELT_M6_4,5-6MM_23317060600</t>
  </si>
  <si>
    <t>Keine Beschichtung</t>
  </si>
  <si>
    <t>EN AW - 6061</t>
  </si>
  <si>
    <t>geliefert</t>
  </si>
  <si>
    <t>999_000_081</t>
  </si>
  <si>
    <t>RIVKLE_STANDARD_GERAENDELT_M5_WS_4-5_23317050500</t>
  </si>
  <si>
    <t>Neu</t>
  </si>
  <si>
    <t>10</t>
  </si>
  <si>
    <t>Bauteil</t>
  </si>
  <si>
    <t>Bezeichnung</t>
  </si>
  <si>
    <t>Bemerkung</t>
  </si>
  <si>
    <t>SGR</t>
  </si>
  <si>
    <t>RIVKLE_STANDARD_GERAENDELT_M8_WS_3-4,5_23317080450</t>
  </si>
  <si>
    <t>BLINDNIET_MIT_SENKKOPF_BOELLHOFF_RIVQUICK_2213124814001</t>
  </si>
  <si>
    <t>ZYLINDERSCHRAUBE_DIN_912_M8X25_VOLLGEWINDE</t>
  </si>
  <si>
    <t>Würth</t>
  </si>
  <si>
    <t>SPANNSTIFT_5X30_ISO_8752_875214310530.1</t>
  </si>
  <si>
    <t>HELICOIL_PLUS_FREE_RUNNING_M8_2XD_41300080016</t>
  </si>
  <si>
    <t>999_000_339</t>
  </si>
  <si>
    <t>KAROSSERIESCHEIBE_M8_DIN_4759.3_9022VZ258,4</t>
  </si>
  <si>
    <t>EN AW - 5754 - H22</t>
  </si>
  <si>
    <t>SICHERUNGSSCHRAUBE_RIPPLOCK_M8x25_W158100VZ825</t>
  </si>
  <si>
    <t>SELBSTSICHERNDE_SECHSKANTFLANSCHMUTTER M12x1.5 10.9 (ISO 7044)</t>
  </si>
  <si>
    <t>SICHERUNGSSCHRAUBE_RIPPLOCK_M6X25_W158100VZ625</t>
  </si>
  <si>
    <t>999_000_329</t>
  </si>
  <si>
    <t>ZYLINDERSCHRAUBE_M8_50_DIN_912_9128.8VZ850</t>
  </si>
  <si>
    <t>HALBRUNDKOPFSCHRAUBE_M6x25_ISO_7380-2_7380-2109VZ625</t>
  </si>
  <si>
    <t>999_000_300</t>
  </si>
  <si>
    <t>999_000_017</t>
  </si>
  <si>
    <t>999_000_301</t>
  </si>
  <si>
    <t xml:space="preserve">ZYLINDERSCHRAUBE_M8_35_DIN_912_9128.8VZ835 </t>
  </si>
  <si>
    <t>SECHSKANTSCHRAUBE_M8X50_DIN933_9338.8VZ850</t>
  </si>
  <si>
    <t>SELBSTSICHERNDE_SECHSKANTFLANSCHMUTTER M8 10.9 (ISO 7044)</t>
  </si>
  <si>
    <t>EN AC - AlSi7Mg - T6</t>
  </si>
  <si>
    <t>SENKSCHRAUBE_M6X16_DIN_7991_79918.8VZ616</t>
  </si>
  <si>
    <t>ZYLINDERSCHRAUBE_M6_16_DIN_6912_69128.8VZ616</t>
  </si>
  <si>
    <t>ZYLINDERSCHRAUBE_M8_60_DIN_7984_79848.8VZ860</t>
  </si>
  <si>
    <t>ZYLINDERSCHRAUBE_M6_45_DIN_912_9128.8VZ645</t>
  </si>
  <si>
    <t>ZYLINDERSCHRAUBE_M8_25_DIN_912_9128.8VZ825</t>
  </si>
  <si>
    <t>HALBRUNDKOPFSCHRAUBE_M8X25_ISO_7380-2_7380-2109VZ825</t>
  </si>
  <si>
    <t>HALBRUNDKOPFSCHRAUBE_M5x10_ISO_7380-2_7380-2109VZ510</t>
  </si>
  <si>
    <t>Schaumteil</t>
  </si>
  <si>
    <t>EPP/PP</t>
  </si>
  <si>
    <t>EJOT_EPPSYSD_15X25</t>
  </si>
  <si>
    <t>SECHSKANTMUTTER_M4_DIN_982_98584 (Selbstsichernd)</t>
  </si>
  <si>
    <t>ZYLINDERSCHRAUBE_ISO 4762 M4X20_WUERTH_414954 20_ST_8.8_VERZ</t>
  </si>
  <si>
    <t>Kauf-/Normteil</t>
  </si>
  <si>
    <t>999_000_213</t>
  </si>
  <si>
    <t>ZYLINDERSCHRAUBE_DIN912_M4X50_9128.8VZ450</t>
  </si>
  <si>
    <t>Eloxiert - Schichtdicke 15 ±5 μm -  Schwarz</t>
  </si>
  <si>
    <t>ZYLINDERSCHRAUBE_M6_20_DIN_912_9128.8VZ620</t>
  </si>
  <si>
    <t>EN AW - 6063 - T6</t>
  </si>
  <si>
    <t>SECHSKANTSCHRAUBE_M8X65_DIN933_9338.8VZ865</t>
  </si>
  <si>
    <t>Boellhoff</t>
  </si>
  <si>
    <t>999_000_340</t>
  </si>
  <si>
    <t>KAROSSERIESCHEIBE_M10_DIN_4759.3_9022VZ3510,5</t>
  </si>
  <si>
    <t>SICHERUNGSSCHEIBE_RIPPLOCK_M6_53065STZL6</t>
  </si>
  <si>
    <t>SICHERUNGSSCHRAUBE_RIPPLOCK_M5X20_W158100VZ520</t>
  </si>
  <si>
    <t xml:space="preserve">RIVQUICK_STANDARDBLINDNIET, NT-FL-ALU/ST-(-/A1K)-(3,0 - 5,0)-4X8 </t>
  </si>
  <si>
    <t>999_000_067</t>
  </si>
  <si>
    <t>ZYLINDERSCHRAUBE_M8_45_DIN_912_9128.8VZ845</t>
  </si>
  <si>
    <t>EN AC - 42100 - T6</t>
  </si>
  <si>
    <t>SICHERUNGSSCHRAUBE_RIPPLOCK_M8X16_W158100VZ816</t>
  </si>
  <si>
    <t>999_000_027</t>
  </si>
  <si>
    <t>SECHSKANTSCHRAUBE_M10X30_DIN933_9338.8VZ1030</t>
  </si>
  <si>
    <t>999_000_107</t>
  </si>
  <si>
    <t>999_000_110</t>
  </si>
  <si>
    <t>HALBRUNDKOPFSCHRAUBE_M5X25_ISO7380-1_009801525</t>
  </si>
  <si>
    <t>SCHEIBE_M5_DIN_9021_PA_BLK5,3</t>
  </si>
  <si>
    <t>3D-Druckteil</t>
  </si>
  <si>
    <t>999_000_076</t>
  </si>
  <si>
    <t>BLINDNIET_SENKKOPF_M8_WUERTH_WS1,5-4_094832008</t>
  </si>
  <si>
    <t>999_000_302</t>
  </si>
  <si>
    <t>999_000_097</t>
  </si>
  <si>
    <t>SENKSCHRAUBE_M8X20_DIN_7991_79918.8VZ820</t>
  </si>
  <si>
    <t>ZYLINDERSCHRAUBE_M4x10_DIN_912_9128.8VZ410</t>
  </si>
  <si>
    <t>ZYLINDERSCHRAUBE_M4x16_ISO4762_47628.8VZD416</t>
  </si>
  <si>
    <t>RIVKLE_STANDARD_GERAENDELT_M4_WS_1,75-2,5_23317040250</t>
  </si>
  <si>
    <t>SECHSKANTSCHRAUBE_M5X12_DIN933_933A4512</t>
  </si>
  <si>
    <t>999_000_361</t>
  </si>
  <si>
    <t>999_000_014</t>
  </si>
  <si>
    <t>SENKSCHRAUBE_M4X12_DIN_7991_79918.8VZ412</t>
  </si>
  <si>
    <t>RIVQUICK_SENKKOPF_4,0_WS_4,5-6,5_22132240100</t>
  </si>
  <si>
    <t>SENKSCHRAUBE_M4X18_ISO_10642_00890418</t>
  </si>
  <si>
    <t>SENKSCHRAUBE_M4X8_DIN7991_79918.8VZ48</t>
  </si>
  <si>
    <t>RIVKLE_STANDARD_GERAENDELT_M5_WS_1,5-3_23317050300</t>
  </si>
  <si>
    <t>GESIPA_BLINDNIETMUTTER_SENK_GERAENDELT_M5_WS1,5-4_1455367</t>
  </si>
  <si>
    <t>ZYLINDERSCHRAUBE_M4X8_DIN912_9128.8VZ48</t>
  </si>
  <si>
    <t>SECHSKANTSCHRAUBE_M6X35_DIN_933_933109VZ635</t>
  </si>
  <si>
    <t>999_000_221</t>
  </si>
  <si>
    <t>999_000_201</t>
  </si>
  <si>
    <t>SICHERUNGSRING (RADLAGER - DIN 472 - 52 x 2)</t>
  </si>
  <si>
    <t>999_000_224</t>
  </si>
  <si>
    <t>999_000_225</t>
  </si>
  <si>
    <t>999_000_312</t>
  </si>
  <si>
    <t>999_000_207</t>
  </si>
  <si>
    <t>999_000_209</t>
  </si>
  <si>
    <t>SECHSKANTMUTTER BM8 (DIN 439 RECHTSGEWINDE)</t>
  </si>
  <si>
    <t>999_000_210</t>
  </si>
  <si>
    <t>SECHSKANTMUTTER M8 (DIN 439 LINKSGEWINDE)</t>
  </si>
  <si>
    <t>999_000_211</t>
  </si>
  <si>
    <t>PASSSCHRAUBE_M6X35_ISO_7379</t>
  </si>
  <si>
    <t>999_000_212</t>
  </si>
  <si>
    <t>999_000_214</t>
  </si>
  <si>
    <t>999_000_216</t>
  </si>
  <si>
    <t>999_000_056</t>
  </si>
  <si>
    <t>ZYLINDERSCHRAUBE_M5_20_DIN_912</t>
  </si>
  <si>
    <t>999_000_013</t>
  </si>
  <si>
    <t>999_000_218</t>
  </si>
  <si>
    <t>999_000_219</t>
  </si>
  <si>
    <t>999_000_227</t>
  </si>
  <si>
    <t>SENKSCHRAUBE_M5x10_DIN_7991_79918.8VZ514</t>
  </si>
  <si>
    <t>999_000_349</t>
  </si>
  <si>
    <t>SICHSCHR_RIPPLOCK_M10X60_W158100VZ1060</t>
  </si>
  <si>
    <t>C45</t>
  </si>
  <si>
    <t>ZYLINDERSCHRAUBE_M10x30_DIN_912_9128.8VZ1030</t>
  </si>
  <si>
    <t>999_000_366</t>
  </si>
  <si>
    <t>SECHSKANTSCHRAUBE_M10x45_WN_274_027401045 (Selbstsichernd)</t>
  </si>
  <si>
    <t>42CrMo4</t>
  </si>
  <si>
    <t>SECHSKANTMUTTER_FLANSCH_M8_DIN_6926</t>
  </si>
  <si>
    <t>SECHSKANTSCHRAUBE_FLANSCH_M8x30_8.8_DIN_6921</t>
  </si>
  <si>
    <t>SECHSKANTSCHRAUBE_FLANSCH_M8x50_8.8_DIN_6921</t>
  </si>
  <si>
    <t>SCHEIBE_M6_DIN_9021_POLYAMID_SCHWARZ</t>
  </si>
  <si>
    <t>CHLOROPREN_BLINDNIETMUTTER_M6_0_8-4_7_094875_6</t>
  </si>
  <si>
    <t>SCHLOSSSCHRAUBE_M8X40_DIN_603</t>
  </si>
  <si>
    <t>ZYLINDERSCHRAUBE_DIN912_M4X30_9128.8VZ430</t>
  </si>
  <si>
    <t>DISTANZSCHEIBE_28x6,4x5_PA_SCHWARZ</t>
  </si>
  <si>
    <t xml:space="preserve">KAROSSERIESCHEIBE_M6_B9022_9022VZ306,4 </t>
  </si>
  <si>
    <t>SECHSKANTSCHRAUBE_M6x45_DIN933_9338.8VZ645</t>
  </si>
  <si>
    <t>SECHSKANTSCHRAUBE_M6x70_DIN933_9338.8VZ670</t>
  </si>
  <si>
    <t>SECHSKANTSCHRAUBE_M6x90_DIN933_9338.8VZ690</t>
  </si>
  <si>
    <t>ZYLINDERSCHRAUBE_M6_16_DIN_912_9128.8VZ616</t>
  </si>
  <si>
    <t xml:space="preserve">SICHERUNGSMUTTER_M4_DIN_985_98584 </t>
  </si>
  <si>
    <t xml:space="preserve">SICHERUNGSMUTTER_M6_DIN_985_98586 </t>
  </si>
  <si>
    <t>Benennung</t>
  </si>
  <si>
    <t>S355</t>
  </si>
  <si>
    <t>999_000_003</t>
  </si>
  <si>
    <t>HALBRUNDKOPFSCHRAUBE_M6X16_ISO_7380-2_7380-2109VZ616</t>
  </si>
  <si>
    <t>HALBRUNDKOPFSCHRAUBE_M5x20_ISO_7380-2_A2_BLK</t>
  </si>
  <si>
    <t>HALBRUNDKOPFSCHRAUBE_M5x25_ISO_7380-2_A2_BLK</t>
  </si>
  <si>
    <t>999_000_410</t>
  </si>
  <si>
    <t>999_000_409</t>
  </si>
  <si>
    <t>999_000_393</t>
  </si>
  <si>
    <t>SECHSKANTSCHRAUBE_FLANSCH_M6x20_8.8_DIN_6921</t>
  </si>
  <si>
    <t>999_000_360</t>
  </si>
  <si>
    <t>SECHSKANTMUTTER_FLANSCH_M6_DIN_6926</t>
  </si>
  <si>
    <t>999_000_402</t>
  </si>
  <si>
    <t>HALBRUNDKOPFSCHRAUBE_M6x25_ISO_7380-2_A2_BLK</t>
  </si>
  <si>
    <t xml:space="preserve">SICHERUNGSMUTTER_M5_DIN_985_98585 </t>
  </si>
  <si>
    <t>002_008_949</t>
  </si>
  <si>
    <t>SCHUTZBLECH_SCHELLE</t>
  </si>
  <si>
    <t>999_000_399</t>
  </si>
  <si>
    <t>999_000_403</t>
  </si>
  <si>
    <t>999_000_405</t>
  </si>
  <si>
    <t>999_000_404</t>
  </si>
  <si>
    <t>SCHEIBE_M6_DIN_6340_6340VZ6,4</t>
  </si>
  <si>
    <t>999_000_411</t>
  </si>
  <si>
    <t>999_000_406</t>
  </si>
  <si>
    <t xml:space="preserve">SENKSCHRAUBE_M8X30_DIN_7991_79918.8VZ830  </t>
  </si>
  <si>
    <t>999_000_408</t>
  </si>
  <si>
    <t>M8 DIN 6926 / EN 1663 Sechskantmutter mit Flansch</t>
  </si>
  <si>
    <t>999_000_401</t>
  </si>
  <si>
    <t>Schraube mit furchenden Gewinde/Thread-rolling screw - Ø: 3mm - L: 6mm - E 5451</t>
  </si>
  <si>
    <t>999_000_398</t>
  </si>
  <si>
    <t>Zylinderschraube DIN 912 M4x30 Edelstahl A2</t>
  </si>
  <si>
    <t>999_000_400</t>
  </si>
  <si>
    <t>Scheibe/Washer - DIN125 A - M3 - Polyamid</t>
  </si>
  <si>
    <t>Version</t>
  </si>
  <si>
    <t>EINSCHLAGMUTTER_RAMPA_021912001010_TYP_S_M10</t>
  </si>
  <si>
    <t>RIVKLE_STANDARD_GERAENDELT_M10_WS_4,5-6_23317100600</t>
  </si>
  <si>
    <t>SECHSKANTSCHRAUBE_M5x20_DIN933_9338.8VZ520</t>
  </si>
  <si>
    <t>SECHSKANTSCHRAUBE_M8X20_DIN933_9338.8VZ820</t>
  </si>
  <si>
    <t>ZYLINDERSCHRAUBE_DIN_912_M8X25_10.9_912109VZ825</t>
  </si>
  <si>
    <t>EPDM</t>
  </si>
  <si>
    <t>NUTMUTTER_SELBSTSICHERND_M30X1_5_GANTER_NORM_GN 1804.1</t>
  </si>
  <si>
    <t>HOLD</t>
  </si>
  <si>
    <t>Stanz-/Biegeteil</t>
  </si>
  <si>
    <t>RIVQUICK_STANDARDBLINDNIET_5-6_22132130090</t>
  </si>
  <si>
    <t>ZYLINDERSCHRAUBE_M5_20_DIN_7984_79848.8VZ520</t>
  </si>
  <si>
    <t>HALBRUNDKOPFSCHRAUBE_M4X12_ISO_7380-2_7380-2109VZ412</t>
  </si>
  <si>
    <t>ZYLINDERSCHRAUBE_M5_18_DIN_912_9128.8VZ518</t>
  </si>
  <si>
    <t>Kunststoff</t>
  </si>
  <si>
    <t>KABELCLIP CA. 30MM 3M</t>
  </si>
  <si>
    <t>EN AW - AlSi1MgMn - T6</t>
  </si>
  <si>
    <t>ZnNi passiviert oä. | Min. 480h Salzsprühnebel - Soll 720h | Reibwert µ=0.08 bis 0.17</t>
  </si>
  <si>
    <t>Bearbeitung</t>
  </si>
  <si>
    <t>SCHWEISSMUTTER_M8_DIN_929_929ST8</t>
  </si>
  <si>
    <t>999_000_010</t>
  </si>
  <si>
    <t>SECHSKANTSCHRAUBE_M10x90_DIN933_9338.8VZ1090</t>
  </si>
  <si>
    <t>999_000_098</t>
  </si>
  <si>
    <t>ZYLINDERSCHRAUBE_DIN_912_M8x55_WUERTH_00848  55</t>
  </si>
  <si>
    <t>ZYLINDERSCHRAUBE_M8_65_DIN_912_9128.8VZ865</t>
  </si>
  <si>
    <t>ZYLINDERSCHRAUBE_M8_16_DIN_912_9128.8VZ816</t>
  </si>
  <si>
    <t>SECHSKANTMUTTER_M10_ISO_4032_403210VZD10</t>
  </si>
  <si>
    <t>SECHSKANTSCHRAUBE_M10X60_DIN933_9338.8VZ1060</t>
  </si>
  <si>
    <t>SENKSCHRAUBE_M5X18_DIN_7991_79918.8VZ518</t>
  </si>
  <si>
    <t>SENKSCHRAUBE_M4X10_DIN_7991_79918.8VZ410</t>
  </si>
  <si>
    <t>SICHERUNGSRING_WELLE_20MM_DIN_471_4711412220</t>
  </si>
  <si>
    <t>999_000_048</t>
  </si>
  <si>
    <t>ZYLINDERSCHRAUBE_ISO4762_M5X14_47628.8VZD514</t>
  </si>
  <si>
    <t>ZYLINDERSCHRAUBE_M5_25_DIN_912_9128.8VZ525</t>
  </si>
  <si>
    <t>ZYLINDERSCHRAUBE_M5x25_DIN_912_12.9_91212.9525</t>
  </si>
  <si>
    <t>SECHSKANTSCHRAUBE_M5x40_DIN933_9338.8VZ540</t>
  </si>
  <si>
    <t>SECHSKANTSCHRAUBE_M5x55_DIN933_9338.8VZ555</t>
  </si>
  <si>
    <t>SICHERUNGSRING_38X1,5_DIN_472_4721412238</t>
  </si>
  <si>
    <t>ZYLINDERSCHRAUBE_M5_40_DIN_912_9128.8VZ540</t>
  </si>
  <si>
    <t>ZYLINDERSCHRAUBE_M5_12_DIN_912_9128.8VZ512</t>
  </si>
  <si>
    <t>SECHSKANTMUTTER_M10_DIN_934_9348VZ10</t>
  </si>
  <si>
    <t>PASSSCHRAUBE_6_M5_10_ISO_7379</t>
  </si>
  <si>
    <t>SECHSKANTMUTTER_M5_DIN_982_9828VZ5</t>
  </si>
  <si>
    <t>KUNSTSTOFFSCHRAUBE_EJOT_DELTA_PT_40X16_ E5451VZ4016</t>
  </si>
  <si>
    <t>SECHSKANTSCHRAUBE_M6x40_DIN933_9338.8VZ640</t>
  </si>
  <si>
    <t>999_000_033</t>
  </si>
  <si>
    <t>999_000_034</t>
  </si>
  <si>
    <t>999_000_071</t>
  </si>
  <si>
    <t>Anfragestand</t>
  </si>
  <si>
    <t>SECHSKANTSCHRAUBE_M10X65_DIN933_9338.8VZ1065.2</t>
  </si>
  <si>
    <t>SICHERUNGSSCHRAUBE_RIPPLOCK_M8x40_W158100VZ840</t>
  </si>
  <si>
    <t>SECHSKANTSCHRAUBE_M8x25_DIN6921_69218.8VZ1025</t>
  </si>
  <si>
    <t>GASDRUCKFEDER_6-5_HUB_100</t>
  </si>
  <si>
    <t>GABELKOPF_M5</t>
  </si>
  <si>
    <t>SENKSCHRAUBE_M4X30_DIN_7991_79918.8vz430</t>
  </si>
  <si>
    <t>ZYLINDERSCHRAUBE_M6_50_DIN_912</t>
  </si>
  <si>
    <t>999_000_222</t>
  </si>
  <si>
    <t>DIN 34801</t>
  </si>
  <si>
    <t>ESKA Automotive GmbH</t>
  </si>
  <si>
    <t>DIN 472</t>
  </si>
  <si>
    <t>ISO 7093-1</t>
  </si>
  <si>
    <t>999_000_205</t>
  </si>
  <si>
    <t>ISO 7044</t>
  </si>
  <si>
    <t>DIN 125 A</t>
  </si>
  <si>
    <t>999_000_217</t>
  </si>
  <si>
    <t>DIN 6923</t>
  </si>
  <si>
    <t>SECHSKANTSCHRAUBE_M6X16_DIN933_9338.8VZ616</t>
  </si>
  <si>
    <t>SPANNSCHEIBE_M6_DIN_6796_6796FSTMZ6</t>
  </si>
  <si>
    <t>Bestand</t>
  </si>
  <si>
    <t>Art</t>
  </si>
  <si>
    <t>Faktor</t>
  </si>
  <si>
    <t>999_000_371</t>
  </si>
  <si>
    <t>999_000_369</t>
  </si>
  <si>
    <t>999_000_373</t>
  </si>
  <si>
    <t>999_000_372</t>
  </si>
  <si>
    <t>999_000_351</t>
  </si>
  <si>
    <t>Planned vehicles</t>
  </si>
  <si>
    <t>Materialnummer</t>
  </si>
  <si>
    <t>Artikelbezeichnung</t>
  </si>
  <si>
    <t>Anzahl pro Fahrzeug</t>
  </si>
  <si>
    <t># lt AB</t>
  </si>
  <si>
    <t>Verbrauch</t>
  </si>
  <si>
    <t>Bestand EOW</t>
  </si>
  <si>
    <t>LT angekündigt</t>
  </si>
  <si>
    <t>Entwicklung</t>
  </si>
  <si>
    <t>Teilenummer</t>
  </si>
  <si>
    <t>Anzahl
V2.1</t>
  </si>
  <si>
    <t>Ausführung/Kommentar</t>
  </si>
  <si>
    <t>Gewinde</t>
  </si>
  <si>
    <t>Länge</t>
  </si>
  <si>
    <t>Norm</t>
  </si>
  <si>
    <t>Festigkeitsklasse</t>
  </si>
  <si>
    <t>Bestellnummer</t>
  </si>
  <si>
    <t>Link</t>
  </si>
  <si>
    <t>Anziehmoment</t>
  </si>
  <si>
    <t>Gewicht in kg</t>
  </si>
  <si>
    <t>999_000_001</t>
  </si>
  <si>
    <t>Schraube</t>
  </si>
  <si>
    <t>HALBRUNDKOPFSCHRAUBE</t>
  </si>
  <si>
    <t>M4</t>
  </si>
  <si>
    <t>ISO 7380-2</t>
  </si>
  <si>
    <t>10.9</t>
  </si>
  <si>
    <t>verzinkt</t>
  </si>
  <si>
    <t>7380-2109VZ412</t>
  </si>
  <si>
    <t>https://eshop.boellhoff.de/en/Screws/Screws-with-internal-force-application/Hexagon-socket-button-head-screws-with-collar/Round-head-screws.html?force_sid=58b614ace06b4ef682e0097fd8d09e91&amp;listtype=search&amp;searchparam=2109VZ412</t>
  </si>
  <si>
    <t>HALBRUNDKOPFSCHRAUBE_M5X16_ISO_7380-2_LFS109VZ516</t>
  </si>
  <si>
    <t>999_000_002</t>
  </si>
  <si>
    <t>M5</t>
  </si>
  <si>
    <t>LFS109VZ516</t>
  </si>
  <si>
    <t>https://eshop.boellhoff.de/en/Screws/Screws-with-internal-force-application/Hexagon-socket-button-head-screws-with-collar/Round-head-screws.html?force_sid=58b614ace06b4ef682e0097fd8d09e91&amp;listtype=search&amp;searchparam=LFS109VZ516</t>
  </si>
  <si>
    <t>M6</t>
  </si>
  <si>
    <t>7380-2109VZ616</t>
  </si>
  <si>
    <t>https://eshop.boellhoff.de/en/Screws/Screws-with-internal-force-application/Hexagon-socket-button-head-screws-with-collar/Round-head-screws.html?force_sid=58b614ace06b4ef682e0097fd8d09e91&amp;listtype=search&amp;searchparam=2109VZ616</t>
  </si>
  <si>
    <t>999_000_004</t>
  </si>
  <si>
    <t>M8</t>
  </si>
  <si>
    <t>2109VZ825</t>
  </si>
  <si>
    <t>HAMMERMUTTER_8_M6_ITEM_0062606</t>
  </si>
  <si>
    <t>999_000_005</t>
  </si>
  <si>
    <t>ITEM</t>
  </si>
  <si>
    <t>Hammermutter</t>
  </si>
  <si>
    <t>https://www.item24.com/de-de/hammermutter-8-m6-verzinkt-62606/</t>
  </si>
  <si>
    <t>Serie ITEM 8</t>
  </si>
  <si>
    <t>IGUS_IGLIDUR_GFM-04050-04</t>
  </si>
  <si>
    <t>999_000_006</t>
  </si>
  <si>
    <t>Igus</t>
  </si>
  <si>
    <t>Gleitlager mit Bund</t>
  </si>
  <si>
    <t>https://www.igus.de/product/64?artNr=GFM-04050-04&amp;utm_term=&amp;utm_campaign=DE%7CE-Chains%7CGoogle+Ads%7CMax-Performance%7C03-Orders%7Ce-chains+Bestsellers%7CQ2/2022&amp;utm_source=adwords&amp;utm_medium=ppc&amp;hsa_acc=9293631960&amp;hsa_cam=16818505652&amp;hsa_grp=&amp;hsa_ad=&amp;hsa_src=x&amp;hsa_tgt=&amp;hsa_kw=&amp;hsa_mt=&amp;hsa_net=adwords&amp;hsa_ver=3&amp;gclid=EAIaIQobChMI0fTA8_Ss-AIVFY1oCR2fpwJQEAAYASAAEgIiy_D_BwE</t>
  </si>
  <si>
    <t>999_000_007</t>
  </si>
  <si>
    <t>Passschraube</t>
  </si>
  <si>
    <t>ISO 7379</t>
  </si>
  <si>
    <t>999_000_008</t>
  </si>
  <si>
    <t>Ganter Norm</t>
  </si>
  <si>
    <t>ISO 7379-8-M6-30-NI</t>
  </si>
  <si>
    <t>https://www.ganternorm.com/de/produkte/3.2-Befestigen-Positionieren-Nivellieren-mit-Schraub-Klemm-und-Auflageelementen/Augenschrauben-Passschrauben-Druckschrauben/ISO-7379-Edelstahl-Passschrauben#d1%3Dc(8)%3Bd2%3Du(0c49c7b3-a2d5-4127-b6ac-792d414b1606)%3Bl1%3Dc(30)%3BWerkstoff%3Du(4ffaa763-f739-4917-9edb-5c7ca96d4057)</t>
  </si>
  <si>
    <t>SCHAFTSCHRAUBE_M10_20_DIN_427_427143051020</t>
  </si>
  <si>
    <t>999_000_009</t>
  </si>
  <si>
    <t>Schaftschraube</t>
  </si>
  <si>
    <t>M10</t>
  </si>
  <si>
    <t>DIN 427</t>
  </si>
  <si>
    <t>427143051020</t>
  </si>
  <si>
    <t>https://eshop.boellhoff.de/Schrauben/Schrauben-mit-Innenkraftangriff/Zylinderschrauben/Schaftschrauben-Edelstahl-1-4305-M-10-20-50-Stk.html?force_sid=58b614ace06b4ef682e0097fd8d09e91&amp;redirected=1</t>
  </si>
  <si>
    <t>Scheibe</t>
  </si>
  <si>
    <t>125VZ10,5</t>
  </si>
  <si>
    <t>https://eshop.boellhoff.de/Scheiben/Unterlegscheiben/Scheiben/Scheiben-Stahl-140-HV-verzinkt-10-5-500-Stk.html?force_sid=58b614ace06b4ef682e0097fd8d09e91&amp;redirected=1</t>
  </si>
  <si>
    <t>DIN 9021</t>
  </si>
  <si>
    <t>9021VZ10,5</t>
  </si>
  <si>
    <t>https://eshop.boellhoff.de/Scheiben/Unterlegscheiben/Scheiben/Scheiben-Stahl-140-HV-verzinkt-10-5-200-Stk.html?force_sid=58b614ace06b4ef682e0097fd8d09e91&amp;redirected=1</t>
  </si>
  <si>
    <t>SCHEIBE_M17_DIN_125A_125VZ17</t>
  </si>
  <si>
    <t>999_000_012</t>
  </si>
  <si>
    <t>M17</t>
  </si>
  <si>
    <t>125VZ17</t>
  </si>
  <si>
    <t>https://eshop.boellhoff.de/Scheiben/Unterlegscheiben/Scheiben/Scheiben-Stahl-140-HV-verzinkt-17-200-Stk.html?force_sid=58b614ace06b4ef682e0097fd8d09e91&amp;redirected=1</t>
  </si>
  <si>
    <t>125VZ5,3</t>
  </si>
  <si>
    <t>https://eshop.boellhoff.de/Scheiben/Unterlegscheiben/Scheiben/Scheiben-Stahl-140-HV-verzinkt-5-3-1000-Stk-/.html?force_sid=58b614ace06b4ef682e0097fd8d09e91&amp;redirected=1</t>
  </si>
  <si>
    <t>125VZ6,4</t>
  </si>
  <si>
    <t>https://eshop.boellhoff.de/Scheiben/Unterlegscheiben/Scheiben/Scheiben-Stahl-140-HV-verzinkt-6-4-1000-Stk.html?force_sid=58b614ace06b4ef682e0097fd8d09e91&amp;redirected=1</t>
  </si>
  <si>
    <t>SCHEIBE_M6_DIN_9021_9021VZ6,4</t>
  </si>
  <si>
    <t>999_000_015</t>
  </si>
  <si>
    <t>9021VZ6,4</t>
  </si>
  <si>
    <t>https://eshop.boellhoff.de/Scheiben/Unterlegscheiben/Scheiben/Scheiben-Stahl-140-HV-verzinkt-6-4-1000-Stk-/.html?force_sid=58b614ace06b4ef682e0097fd8d09e91&amp;redirected=1</t>
  </si>
  <si>
    <t>125VZ8,4</t>
  </si>
  <si>
    <t>https://eshop.boellhoff.de/Scheiben/Unterlegscheiben/Scheiben/Scheiben-Stahl-140-HV-verzinkt-8-4-1000-Stk.html?force_sid=58b614ace06b4ef682e0097fd8d09e91&amp;redirected=1</t>
  </si>
  <si>
    <t>9021VZ8,4</t>
  </si>
  <si>
    <t>https://eshop.boellhoff.de/Scheiben/Unterlegscheiben/Scheiben/Scheiben-Stahl-140-HV-verzinkt-8-4-500-Stk.html?force_sid=58b614ace06b4ef682e0097fd8d09e91&amp;redirected=1</t>
  </si>
  <si>
    <t>999_000_019</t>
  </si>
  <si>
    <t>Mutter</t>
  </si>
  <si>
    <t>Sechskantmutter</t>
  </si>
  <si>
    <t>ISO 4032</t>
  </si>
  <si>
    <t>403210VZD10</t>
  </si>
  <si>
    <t>https://eshop.boellhoff.de/Muttern/Muttern-ohne-Sicherungsfunktion/Sechskantmuttern/Sechskantmuttern-Stahl-10-verzinkt-dickschichtpassiviert-VZD-M-10-500-Stk.html?force_sid=58b614ace06b4ef682e0097fd8d09e91&amp;redirected=1</t>
  </si>
  <si>
    <t>SECHSKANTMUTTER_M16_DIN_982_98210VZ16</t>
  </si>
  <si>
    <t>999_000_020</t>
  </si>
  <si>
    <t>Sechskantmutter selbstsichernd</t>
  </si>
  <si>
    <t>DIN 982</t>
  </si>
  <si>
    <t>98210VZ16</t>
  </si>
  <si>
    <t>https://eshop.boellhoff.de/Muttern/Muttern-mit-Sicherungsfunktion/Sechskantmuttern/Sechskantmuttern-Stahl-10-verzinkt-M-16-100-Stk.html?force_sid=58b614ace06b4ef682e0097fd8d09e91&amp;redirected=1</t>
  </si>
  <si>
    <t>999_000_021</t>
  </si>
  <si>
    <t>8</t>
  </si>
  <si>
    <t>40328VZ4</t>
  </si>
  <si>
    <t>https://eshop.boellhoff.de/Muttern/Muttern-ohne-Sicherungsfunktion/Sechskantmuttern/Sechskantmuttern-Stahl-8-verzinkt-M-4-1000-Stk-/.html?force_sid=58b614ace06b4ef682e0097fd8d09e91&amp;redirected=1</t>
  </si>
  <si>
    <t>999_000_022</t>
  </si>
  <si>
    <t>9828VZ5</t>
  </si>
  <si>
    <t>https://eshop.boellhoff.de/Muttern/Muttern-mit-Sicherungsfunktion/Sechskantmuttern/Sechskantmuttern-Stahl-8-verzinkt-M-5-1000-Stk-/-2.html?force_sid=58b614ace06b4ef682e0097fd8d09e91&amp;redirected=1</t>
  </si>
  <si>
    <t>999_000_023</t>
  </si>
  <si>
    <t>40328VZ5</t>
  </si>
  <si>
    <t>https://eshop.boellhoff.de/Muttern/Muttern-ohne-Sicherungsfunktion/Sechskantmuttern/Sechskantmuttern-Stahl-8-verzinkt-M-5-1000-Stk-/.html?force_sid=58b614ace06b4ef682e0097fd8d09e91&amp;redirected=1</t>
  </si>
  <si>
    <t>999_000_024</t>
  </si>
  <si>
    <t>9828VZ6</t>
  </si>
  <si>
    <t>https://eshop.boellhoff.de/Muttern/Muttern-mit-Sicherungsfunktion/Sechskantmuttern/Sechskantmuttern-Stahl-8-verzinkt-M-6-1000-Stk-/-2.html?force_sid=58b614ace06b4ef682e0097fd8d09e91&amp;redirected=1</t>
  </si>
  <si>
    <t>SECHSKANTMUTTER_M6_ISO_4032_403210VZ6</t>
  </si>
  <si>
    <t>999_000_025</t>
  </si>
  <si>
    <t>403210VZ6</t>
  </si>
  <si>
    <t>https://eshop.boellhoff.de/Muttern/Muttern-ohne-Sicherungsfunktion/Sechskantmuttern/Sechskantmuttern-Stahl-10-verzinkt-M-6-1000-Stk-/.html?force_sid=58b614ace06b4ef682e0097fd8d09e91&amp;redirected=1</t>
  </si>
  <si>
    <t>9828VZ8</t>
  </si>
  <si>
    <t>https://eshop.boellhoff.de/Muttern/Muttern-mit-Sicherungsfunktion/Sechskantmuttern/Sechskantmuttern-Stahl-8-verzinkt-M-8-1000-Stk-/.html?force_sid=58b614ace06b4ef682e0097fd8d09e91&amp;redirected=1</t>
  </si>
  <si>
    <t>Sechskantschraube</t>
  </si>
  <si>
    <t>DIN 933</t>
  </si>
  <si>
    <t>8.8</t>
  </si>
  <si>
    <t>9338.8VZ1030</t>
  </si>
  <si>
    <t>https://eshop.boellhoff.de/Schrauben/Schrauben-mit-Aussenkraftangriff/Sechskantschrauben/Sechskantschrauben-Stahl-8-8-verzinkt-M-10-30-200-Stk.html?force_sid=58b614ace06b4ef682e0097fd8d09e91&amp;redirected=1</t>
  </si>
  <si>
    <t>999_000_028</t>
  </si>
  <si>
    <t>9338.8VZ1060</t>
  </si>
  <si>
    <t>https://eshop.boellhoff.de/Schrauben/Schrauben-mit-Aussenkraftangriff/Sechskantschrauben/Sechskantschrauben-Stahl-8-8-verzinkt-M-10-60-100-Stk-/-1.html?force_sid=58b614ace06b4ef682e0097fd8d09e91&amp;redirected=1</t>
  </si>
  <si>
    <t>SECHSKANTSCHRAUBE_M16X180_DIN931_9318.8VZ16180</t>
  </si>
  <si>
    <t>999_000_029</t>
  </si>
  <si>
    <t>M16</t>
  </si>
  <si>
    <t>DIN 931</t>
  </si>
  <si>
    <t>9318.8VZ16180</t>
  </si>
  <si>
    <t>https://eshop.boellhoff.de/Schrauben/Schrauben-mit-Aussenkraftangriff/Sechskantschrauben/Sechskantschrauben-Stahl-8-8-verzinkt-M-16-180-25-Stk.html?force_sid=58b614ace06b4ef682e0097fd8d09e91&amp;redirected=1</t>
  </si>
  <si>
    <t>999_000_030</t>
  </si>
  <si>
    <t>9338.8VZ540</t>
  </si>
  <si>
    <t>https://eshop.boellhoff.de/Schrauben/Schrauben-mit-Aussenkraftangriff/Sechskantschrauben/Sechskantschrauben-Stahl-8-8-verzinkt-M-5-40-200-Stk-/.html?force_sid=58b614ace06b4ef682e0097fd8d09e91&amp;redirected=1</t>
  </si>
  <si>
    <t>SECHSKANTSCHRAUBE_M6X12_DIN933_9338.8VZ612</t>
  </si>
  <si>
    <t>999_000_031</t>
  </si>
  <si>
    <t>9338.8VZ612</t>
  </si>
  <si>
    <t>https://eshop.boellhoff.de/Schrauben/Schrauben-mit-Aussenkraftangriff/Sechskantschrauben/Sechskantschrauben-Stahl-8-8-verzinkt-M-6-12-500-Stk.html?force_sid=58b614ace06b4ef682e0097fd8d09e91&amp;redirected=1</t>
  </si>
  <si>
    <r>
      <t>SECHSKANTSCHRAUBE_M6X25_DIN933_9338.8VZ6</t>
    </r>
    <r>
      <rPr>
        <sz val="11"/>
        <color indexed="10"/>
        <rFont val="Calibri"/>
        <family val="2"/>
      </rPr>
      <t>20</t>
    </r>
  </si>
  <si>
    <t>999_000_032</t>
  </si>
  <si>
    <t>9338.8VZ620</t>
  </si>
  <si>
    <t>https://eshop.boellhoff.de/Schrauben/Schrauben-mit-Aussenkraftangriff/Sechskantschrauben/Sechskantschrauben-Stahl-8-8-verzinkt-M-6-20-500-Stk.html?force_sid=58b614ace06b4ef682e0097fd8d09e91&amp;redirected=1</t>
  </si>
  <si>
    <t>9338.8VZ640</t>
  </si>
  <si>
    <t>https://eshop.boellhoff.de/Schrauben/Schrauben-mit-Aussenkraftangriff/Sechskantschrauben/Sechskantschrauben-Stahl-8-8-verzinkt-M-6-40-200-Stk-/.html?force_sid=58b614ace06b4ef682e0097fd8d09e91&amp;redirected=1</t>
  </si>
  <si>
    <t>SECHSKANTSCHRAUBE_M6X55_DIN933_9338.8VZ655</t>
  </si>
  <si>
    <t>9338.8VZ655</t>
  </si>
  <si>
    <t>https://eshop.boellhoff.de/Schrauben/Schrauben-mit-Aussenkraftangriff/Sechskantschrauben/Sechskantschrauben-Stahl-8-8-verzinkt-M-6-55-200-Stk-/.html?force_sid=58b614ace06b4ef682e0097fd8d09e91&amp;redirected=1</t>
  </si>
  <si>
    <t>SECHSKANTSCHRAUBE_M6X65_DIN933_9338.8VZ665</t>
  </si>
  <si>
    <t>999_000_035</t>
  </si>
  <si>
    <t>9338.8VZ665</t>
  </si>
  <si>
    <t>https://eshop.boellhoff.de/Schrauben/Schrauben-mit-Aussenkraftangriff/Sechskantschrauben/Sechskantschrauben-Stahl-8-8-verzinkt-M-6-65-200-Stk-/.html?force_sid=58b614ace06b4ef682e0097fd8d09e91&amp;redirected=1</t>
  </si>
  <si>
    <t>SECHSKANTSCHRAUBE_M6X75_DIN933_9338.8VZ675</t>
  </si>
  <si>
    <t>999_000_036</t>
  </si>
  <si>
    <t>9338.8VZ675</t>
  </si>
  <si>
    <t>https://eshop.boellhoff.de/Schrauben/Schrauben-mit-Aussenkraftangriff/Sechskantschrauben/Sechskantschrauben-Stahl-8-8-verzinkt-M-6-75-200-Stk.html?force_sid=58b614ace06b4ef682e0097fd8d09e91&amp;redirected=1</t>
  </si>
  <si>
    <t>999_000_037</t>
  </si>
  <si>
    <t>9338.8VZ865</t>
  </si>
  <si>
    <t>https://eshop.boellhoff.de/Schrauben/Schrauben-mit-Aussenkraftangriff/Sechskantschrauben/Sechskantschrauben-Stahl-8-8-verzinkt-M-8-65-200-Stk-/.html?force_sid=58b614ace06b4ef682e0097fd8d09e91&amp;redirected=1</t>
  </si>
  <si>
    <t>SECHSKENTMUTTER_M30X2_DIN_439_43904VZ302</t>
  </si>
  <si>
    <t>999_000_038</t>
  </si>
  <si>
    <t>M30x2</t>
  </si>
  <si>
    <t>DIN 439</t>
  </si>
  <si>
    <t>4</t>
  </si>
  <si>
    <t>43904VZ302</t>
  </si>
  <si>
    <t>https://eshop.boellhoff.de/Muttern/Muttern-ohne-Sicherungsfunktion/Sechskantmuttern/Sechskantmuttern-/-43.html?force_sid=58b614ace06b4ef682e0097fd8d09e91&amp;listtype=search&amp;searchparam=43904VZ302</t>
  </si>
  <si>
    <t>SENKSCHRAUBE_M4X6_DIN_7991_79918.8VZ46</t>
  </si>
  <si>
    <t>999_000_039</t>
  </si>
  <si>
    <t>Senkschraube</t>
  </si>
  <si>
    <t>DIN 7991</t>
  </si>
  <si>
    <t>79918.8VZ46</t>
  </si>
  <si>
    <t>https://eshop.boellhoff.de/Schrauben/Schrauben-mit-Innenkraftangriff/Senkschrauben/Senkschrauben-Stahl-8-8-verzinkt-M-4-6-500-Stk.html?force_sid=58b614ace06b4ef682e0097fd8d09e91&amp;redirected=1</t>
  </si>
  <si>
    <t>SENKSCHRAUBE_M5X14_DIN_7991_79918.8VZ514</t>
  </si>
  <si>
    <t>999_000_040</t>
  </si>
  <si>
    <t>79918.8VZ514</t>
  </si>
  <si>
    <t>https://eshop.boellhoff.de/Schrauben/Schrauben-mit-Innenkraftangriff/Senkschrauben/Senkschrauben-Stahl-8-8-verzinkt-M-5-14-500-Stk.html?force_sid=58b614ace06b4ef682e0097fd8d09e91&amp;redirected=1</t>
  </si>
  <si>
    <t>999_000_041</t>
  </si>
  <si>
    <t>79918.8VZ616</t>
  </si>
  <si>
    <t>https://eshop.boellhoff.de/Schrauben/Schrauben-mit-Innenkraftangriff/Senkschrauben/Senkschrauben-Stahl-8-8-verzinkt-M-6-16-500-Stk.html?force_sid=58b614ace06b4ef682e0097fd8d09e91&amp;redirected=1</t>
  </si>
  <si>
    <t>SENKSCHRAUBE_M6X30_DIN_7991_79918.8VZ630</t>
  </si>
  <si>
    <t>999_000_042</t>
  </si>
  <si>
    <t>79918.8VZ630</t>
  </si>
  <si>
    <t>https://eshop.boellhoff.de/Schrauben/Schrauben-mit-Innenkraftangriff/Senkschrauben/Senkschrauben-Stahl-8-8-verzinkt-M-6-30-500-Stk.html?force_sid=58b614ace06b4ef682e0097fd8d09e91&amp;redirected=1</t>
  </si>
  <si>
    <t>SENKSCHRAUBE_M6X35_DIN_7991_79918.8VZ635</t>
  </si>
  <si>
    <t>999_000_043</t>
  </si>
  <si>
    <t>79918.8VZ635</t>
  </si>
  <si>
    <t>https://eshop.boellhoff.de/Schrauben/Schrauben-mit-Innenkraftangriff/Senkschrauben/Senkschrauben-Stahl-8-8-verzinkt-M-6-35-500-Stk.html?force_sid=58b614ace06b4ef682e0097fd8d09e91&amp;redirected=1</t>
  </si>
  <si>
    <t>SENKSCHRAUBE_M6X70_DIN_7991_79918.8VZ670</t>
  </si>
  <si>
    <t>999_000_044</t>
  </si>
  <si>
    <t>79918.8VZ670</t>
  </si>
  <si>
    <t>https://eshop.boellhoff.de/Schrauben/Schrauben-mit-Innenkraftangriff/Senkschrauben/Senkschrauben-Stahl-8-8-verzinkt-M-6-70-200-Stk.html?force_sid=58b614ace06b4ef682e0097fd8d09e91&amp;redirected=1</t>
  </si>
  <si>
    <t>SICHERUNGSCHRAUBE_RIPPLOCK_M6X16_W158100VZ616</t>
  </si>
  <si>
    <t>999_000_045</t>
  </si>
  <si>
    <t>Sicherungsschraube</t>
  </si>
  <si>
    <t>W158100VZ616</t>
  </si>
  <si>
    <t>https://eshop.boellhoff.de/Schrauben/Schrauben-mit-Aussenkraftangriff/Sicherungsschrauben/RIPP-LOCK-Sicherungsschrauben-Stahl-verzinkt-M-6-16-500-Stk.html?force_sid=58b614ace06b4ef682e0097fd8d09e91&amp;redirected=1</t>
  </si>
  <si>
    <t>SICHERUNGSCHRAUBE_RIPPLOCK_M6X20_W158100VZ620</t>
  </si>
  <si>
    <t>999_000_046</t>
  </si>
  <si>
    <t>W158100VZ620</t>
  </si>
  <si>
    <t>https://eshop.boellhoff.de/Schrauben/Schrauben-mit-Aussenkraftangriff/Sicherungsschrauben/RIPP-LOCK-Sicherungsschrauben-Stahl-verzinkt-M-6-20-500-Stk.html?force_sid=58b614ace06b4ef682e0097fd8d09e91&amp;redirected=1</t>
  </si>
  <si>
    <t>999_000_047</t>
  </si>
  <si>
    <t>Sicherungsmutter</t>
  </si>
  <si>
    <t>W193100VZ5</t>
  </si>
  <si>
    <t>https://eshop.boellhoff.de/Muttern/Muttern-mit-Sicherungsfunktion/RIPP-LOCK-Sicherungsmuttern/RIPP-LOCK-Sicherungsmuttern-Stahl-verzinkt-M-5-500-Stk.html?force_sid=58b614ace06b4ef682e0097fd8d09e91&amp;redirected=1</t>
  </si>
  <si>
    <t>Sicherungsring</t>
  </si>
  <si>
    <t>Sicherungsring Welle</t>
  </si>
  <si>
    <t>DIN 471</t>
  </si>
  <si>
    <t>https://eshop.boellhoff.de/Sonstiges/Wellensicherungen-und-Passfedern/Sicherungsringe-fuer-Wellen-Edelstahl-1-4122-20-500-Stk.html?force_sid=58b614ace06b4ef682e0097fd8d09e91&amp;redirected=1</t>
  </si>
  <si>
    <t>SICHERUNGSRING_WELLE_30MM_DIN_471_4711412230</t>
  </si>
  <si>
    <t>999_000_049</t>
  </si>
  <si>
    <t>https://eshop.boellhoff.de/Sonstiges/Wellensicherungen-und-Passfedern/Sicherungsringe-fuer-Wellen-Edelstahl-1-4122-30-50-Stk.html?force_sid=58b614ace06b4ef682e0097fd8d09e91&amp;redirected=1</t>
  </si>
  <si>
    <t>999_000_050</t>
  </si>
  <si>
    <t>Sicherungsscheibe</t>
  </si>
  <si>
    <t>Zinklamelle</t>
  </si>
  <si>
    <t>53065STZL6</t>
  </si>
  <si>
    <t>https://eshop.boellhoff.de/Scheiben/Scheiben-mit-Sicherungsfunktion/RIPP-LOCK-Sicherungsscheiben/RIPP-LOCK-Sicherungsscheiben-beidseitig-gerippt-Stahl-Zinklamelle-6-200-Stk.html?force_sid=58b614ace06b4ef682e0097fd8d09e91&amp;redirected=1</t>
  </si>
  <si>
    <t>999_000_051</t>
  </si>
  <si>
    <t>W158100VZ520</t>
  </si>
  <si>
    <t>https://eshop.boellhoff.de/Schrauben/Schrauben-mit-Aussenkraftangriff/Sicherungsschrauben/RIPP-LOCK-Sicherungsschrauben-Stahl-verzinkt-M-5-20-500-Stk.html?force_sid=269bae42d427ebeda4596d7d214fcd0d&amp;redirected=1</t>
  </si>
  <si>
    <t>SICHERUNGSSCHRAUBE_RIPPLOCK_M6X25_W158100VZ625 - ALT-</t>
  </si>
  <si>
    <t>999_000_052</t>
  </si>
  <si>
    <t>W158100VZ625</t>
  </si>
  <si>
    <t>https://eshop.boellhoff.de/Schrauben/Schrauben-mit-Aussenkraftangriff/Sicherungsschrauben/RIPP-LOCK-Sicherungsschrauben-Stahl-verzinkt-M-6-25-500-Stk.html?force_sid=269bae42d427ebeda4596d7d214fcd0d&amp;redirected=1</t>
  </si>
  <si>
    <t>999_000_053</t>
  </si>
  <si>
    <t>W158100VZ816</t>
  </si>
  <si>
    <t>https://eshop.boellhoff.de/Schrauben/Schrauben-mit-Aussenkraftangriff/Sicherungsschrauben/RIPP-LOCK-Sicherungsschrauben-Stahl-verzinkt-M-8-16-200-Stk.html?force_sid=269bae42d427ebeda4596d7d214fcd0d&amp;redirected=1</t>
  </si>
  <si>
    <t>ZYLINDERSCHRAUBE_M4_14_DIN_912_9128.8VZ414</t>
  </si>
  <si>
    <t>999_000_054</t>
  </si>
  <si>
    <t>Zylinderschraube</t>
  </si>
  <si>
    <t>DIN 912</t>
  </si>
  <si>
    <t>9128.8VZ414</t>
  </si>
  <si>
    <t>https://eshop.boellhoff.de/Schrauben/Schrauben-mit-Innenkraftangriff/Zylinderschrauben/Zylinderschrauben-Stahl-8-8-verzinkt-M-4-14-1000-Stk.html?force_sid=269bae42d427ebeda4596d7d214fcd0d&amp;redirected=1</t>
  </si>
  <si>
    <t>999_000_055</t>
  </si>
  <si>
    <t>9128.8VZ512</t>
  </si>
  <si>
    <t>https://eshop.boellhoff.de/Schrauben/Schrauben-mit-Innenkraftangriff/Zylinderschrauben/Zylinderschrauben-Stahl-8-8-verzinkt-M-5-12-500-Stk.html?force_sid=269bae42d427ebeda4596d7d214fcd0d&amp;redirected=1</t>
  </si>
  <si>
    <t>999_000_057</t>
  </si>
  <si>
    <t>912_9128.8VZ525</t>
  </si>
  <si>
    <t>https://eshop.boellhoff.de/Schrauben/Schrauben-mit-Innenkraftangriff/Zylinderschrauben/Zylinderschrauben-/-9.html?force_sid=269bae42d427ebeda4596d7d214fcd0d&amp;listtype=search&amp;searchparam=912_9128.8VZ525</t>
  </si>
  <si>
    <t>999_000_058</t>
  </si>
  <si>
    <t>9128.8VZ540</t>
  </si>
  <si>
    <t>https://eshop.boellhoff.de/Schrauben/Schrauben-mit-Innenkraftangriff/Zylinderschrauben/Zylinderschrauben-Stahl-8-8-verzinkt-M-5-40-200-Stk.html?force_sid=269bae42d427ebeda4596d7d214fcd0d&amp;redirected=1</t>
  </si>
  <si>
    <t>ZYLINDERSCHRAUBE_M6_12_DIN_912_9128.8VZ612 (STANDARD)</t>
  </si>
  <si>
    <t>999_000_059</t>
  </si>
  <si>
    <t>9128.8VZ612</t>
  </si>
  <si>
    <t>https://eshop.boellhoff.de/Schrauben/Schrauben-mit-Innenkraftangriff/Zylinderschrauben/Zylinderschrauben-Stahl-8-8-verzinkt-M-6-12-500-Stk.html?force_sid=269bae42d427ebeda4596d7d214fcd0d&amp;redirected=1</t>
  </si>
  <si>
    <t>999_000_060</t>
  </si>
  <si>
    <t>Zylinderschraube niedriger Kopf</t>
  </si>
  <si>
    <t>DIN 6912</t>
  </si>
  <si>
    <t>69128.8VZ616</t>
  </si>
  <si>
    <t>https://eshop.boellhoff.de/Schrauben/Schrauben-mit-Innenkraftangriff/Zylinderschrauben/Zylinderschrauben-Stahl-08-8-verzinkt-M-6-16-500-Stk.html?force_sid=269bae42d427ebeda4596d7d214fcd0d&amp;redirected=1</t>
  </si>
  <si>
    <t>999_000_061</t>
  </si>
  <si>
    <t>9128.8VZ620</t>
  </si>
  <si>
    <t>https://eshop.boellhoff.de/Schrauben/Schrauben-mit-Innenkraftangriff/Zylinderschrauben/Zylinderschrauben-Stahl-8-8-verzinkt-M-6-20-500-Stk.html?force_sid=269bae42d427ebeda4596d7d214fcd0d&amp;redirected=1</t>
  </si>
  <si>
    <t>ZYLINDERSCHRAUBE_M6_25_DIN_912_9128.8VZ625</t>
  </si>
  <si>
    <t>999_000_062</t>
  </si>
  <si>
    <t>9128.8VZ625</t>
  </si>
  <si>
    <t>https://eshop.boellhoff.de/Schrauben/Schrauben-mit-Innenkraftangriff/Zylinderschrauben/Zylinderschrauben-Stahl-8-8-verzinkt-M-6-25-500-Stk.html?force_sid=269bae42d427ebeda4596d7d214fcd0d&amp;redirected=1</t>
  </si>
  <si>
    <t>ZYLINDERSCHRAUBE_M6_35_DIN_912_9128.8VZ635</t>
  </si>
  <si>
    <t>999_000_063</t>
  </si>
  <si>
    <t>9128.8VZ635</t>
  </si>
  <si>
    <t>https://eshop.boellhoff.de/Schrauben/Schrauben-mit-Innenkraftangriff/Zylinderschrauben/Zylinderschrauben-Stahl-8-8-verzinkt-M-6-35-200-Stk.html?force_sid=269bae42d427ebeda4596d7d214fcd0d&amp;redirected=1</t>
  </si>
  <si>
    <t>999_000_064</t>
  </si>
  <si>
    <t>9128.8VZ816</t>
  </si>
  <si>
    <t>https://eshop.boellhoff.de/Schrauben/Schrauben-mit-Innenkraftangriff/Zylinderschrauben/Zylinderschrauben-Stahl-8-8-verzinkt-M-8-16-200-Stk.html?force_sid=269bae42d427ebeda4596d7d214fcd0d&amp;redirected=1</t>
  </si>
  <si>
    <t>999_000_065</t>
  </si>
  <si>
    <t>9128.8VZ825</t>
  </si>
  <si>
    <t>https://eshop.boellhoff.de/Schrauben/Schrauben-mit-Innenkraftangriff/Zylinderschrauben/Zylinderschrauben-Stahl-8-8-verzinkt-M-8-25-200-Stk.html?force_sid=269bae42d427ebeda4596d7d214fcd0d&amp;redirected=1</t>
  </si>
  <si>
    <t>ZYLINDERSCHRAUBE_M8_30_DIN_912_9128.8VZ830</t>
  </si>
  <si>
    <t>999_000_066</t>
  </si>
  <si>
    <t>9128.8VZ830</t>
  </si>
  <si>
    <t>https://eshop.boellhoff.de/Schrauben/Schrauben-mit-Innenkraftangriff/Zylinderschrauben/Zylinderschrauben-Stahl-8-8-verzinkt-M-8-30-200-Stk.html?force_sid=269bae42d427ebeda4596d7d214fcd0d&amp;redirected=1</t>
  </si>
  <si>
    <t>9128.8VZ845</t>
  </si>
  <si>
    <t>https://eshop.boellhoff.de/Schrauben/Schrauben-mit-Innenkraftangriff/Zylinderschrauben/Zylinderschrauben-Stahl-8-8-verzinkt-M-8-45-200-Stk.html?force_sid=269bae42d427ebeda4596d7d214fcd0d&amp;redirected=1</t>
  </si>
  <si>
    <t>999_000_068</t>
  </si>
  <si>
    <t>DIN 79848</t>
  </si>
  <si>
    <t>79848.8VZ860</t>
  </si>
  <si>
    <t>https://eshop.boellhoff.de/Schrauben/Schrauben-mit-Innenkraftangriff/Zylinderschrauben/Zylinderschrauben-Stahl-08-8-verzinkt-M-8-60-200-Stk-/.html?force_sid=269bae42d427ebeda4596d7d214fcd0d&amp;redirected=1</t>
  </si>
  <si>
    <t>ZYLINDERSTIFT_2,5X14_DIN_7_7A42,514</t>
  </si>
  <si>
    <t>999_000_069</t>
  </si>
  <si>
    <t>Stift</t>
  </si>
  <si>
    <t>Zylinderstift</t>
  </si>
  <si>
    <t>DIN 7</t>
  </si>
  <si>
    <t>7A42,514</t>
  </si>
  <si>
    <t>https://eshop.boellhoff.de/Sonstiges/Stifte-Splinte-und-Naegel/Zylinderstifte-Edelstahl-A4-2-5-14-500-Stk.html?force_sid=269bae42d427ebeda4596d7d214fcd0d&amp;redirected=1</t>
  </si>
  <si>
    <t>ZYLINDERSTIFT_2,5X24_DIN_7_7A42,524</t>
  </si>
  <si>
    <t>999_000_070</t>
  </si>
  <si>
    <t>7A42,524</t>
  </si>
  <si>
    <t>https://eshop.boellhoff.de/Sonstiges/Stifte-Splinte-und-Naegel/Zylinderstifte-Edelstahl-A4-2-5-24-500-Stk.html?force_sid=269bae42d427ebeda4596d7d214fcd0d&amp;redirected=1</t>
  </si>
  <si>
    <t>Ejot</t>
  </si>
  <si>
    <t>Kunststoffschraube</t>
  </si>
  <si>
    <t>https://www.ejot.de/Verbindungstechnik/Produkte/Befestigungen-f%C3%BCr-hybride-Schaum-Strukturen/EJOT%C2%AE-EPPsys-D/p/VBT_EPPSYS_D</t>
  </si>
  <si>
    <t>999_000_072</t>
  </si>
  <si>
    <t>9338.8VZ555</t>
  </si>
  <si>
    <t>https://eshop.boellhoff.de/Schrauben/Schrauben-mit-Aussenkraftangriff/Sechskantschrauben/Sechskantschrauben-Stahl-8-8-verzinkt-M-5-55-200-Stk-/.html?force_sid=269bae42d427ebeda4596d7d214fcd0d&amp;redirected=1</t>
  </si>
  <si>
    <t xml:space="preserve">KUNSTSTOFF-ABDECKKAPPE_FUER_SECHSKANTKOPF - ABDEKA-KST-(F.SHR-6KT)-SCHWARZ-SW24-M16 </t>
  </si>
  <si>
    <t>999_000_073</t>
  </si>
  <si>
    <t>Abdeckkappe</t>
  </si>
  <si>
    <t>Wuerth</t>
  </si>
  <si>
    <t>https://eshop.wuerth.de/Abdeckkappe-fuer-Sechskantschrauben-und-muttern-ABDEKA-KST-FSHR-6KT-SCHWARZ-SW24-M16/0590016.sku/de/DE/EUR/?CampaignName=SR001&amp;VisibleSearchTerm=ABDEKA-KST-%28F.SHR-6KT%29-SCHWARZ-SW24-M16</t>
  </si>
  <si>
    <t>Zugfeder Gutekunst_Z_024VI</t>
  </si>
  <si>
    <t>999_000_074</t>
  </si>
  <si>
    <t>Feder</t>
  </si>
  <si>
    <t>Zugfeder</t>
  </si>
  <si>
    <t>Gutekunst Federn</t>
  </si>
  <si>
    <t>Z-024VI</t>
  </si>
  <si>
    <t>https://www.federnshop.com/de/produkte/zugfedern/z-024vi.html</t>
  </si>
  <si>
    <t>Blindnietmutter</t>
  </si>
  <si>
    <t>Blindnietmutter geraendelt</t>
  </si>
  <si>
    <t>https://eshop.boellhoff.de/Gewindegenerierung/RIVKLE-Blindnietmuttern/RIVKLE-Standard/RIVKLE-Standard-Blindnietmuttern.html?force_sid=269bae42d427ebeda4596d7d214fcd0d&amp;listtype=search&amp;searchparam=23317080600</t>
  </si>
  <si>
    <t xml:space="preserve">d=M8 e=4,5-6 </t>
  </si>
  <si>
    <t>https://eshop.boellhoff.de/Gewindegenerierung/RIVKLE-Blindnietmuttern/RIVKLE-Standard/RIVKLE-Standard-Blindnietmuttern.html?force_sid=269bae42d427ebeda4596d7d214fcd0d&amp;listtype=search&amp;searchparam=23317080450</t>
  </si>
  <si>
    <t xml:space="preserve">d=M8 e=3-4,5 </t>
  </si>
  <si>
    <t>999_000_077</t>
  </si>
  <si>
    <t>Blindniete</t>
  </si>
  <si>
    <t>Blindniete Senkkopf</t>
  </si>
  <si>
    <t>2213124814001</t>
  </si>
  <si>
    <t>0,002</t>
  </si>
  <si>
    <t>https://eshop.boellhoff.de/Niettechnik/RIVQUICK-Blindniete/Standardblindniete/RIVQUICK-Standardblindniete-/-6.html?force_sid=269bae42d427ebeda4596d7d214fcd0d&amp;listtype=search&amp;searchparam=2213124814001</t>
  </si>
  <si>
    <t>d=4,8 l=14 e=7,5-10</t>
  </si>
  <si>
    <t>999_000_078</t>
  </si>
  <si>
    <t>https://eshop.boellhoff.de/Schrauben/Schrauben-mit-Innenkraftangriff/Zylinderschrauben/Zylinderschrauben-/-9.html?force_sid=2cdd8a2d5029133d034e64f34053c9a0&amp;listtype=search&amp;searchparam=DIN_912</t>
  </si>
  <si>
    <t>999_000_079</t>
  </si>
  <si>
    <t>Spannstift</t>
  </si>
  <si>
    <t>ISO 8752</t>
  </si>
  <si>
    <t>875214310530</t>
  </si>
  <si>
    <t>0,003</t>
  </si>
  <si>
    <t>https://eshop.boellhoff.de/Sonstiges/Stifte-Splinte-und-Naegel/Spannstifte-Edelstahl-1-4310-5-30-500-Stk.html?force_sid=58b33f75c71745bd320295524b3ca137&amp;redirected=1</t>
  </si>
  <si>
    <t>999_000_080</t>
  </si>
  <si>
    <t>Setzmutter</t>
  </si>
  <si>
    <t>51010VZ8</t>
  </si>
  <si>
    <t>https://eshop.boellhoff.de/Muttern/Einpress-und-Nietmuttern/Setzmuttern/Setzmuttern-Stahl-verzinkt-M-8-1000-Stk.html?force_sid=58b33f75c71745bd320295524b3ca137&amp;redirected=1</t>
  </si>
  <si>
    <t>https://eshop.boellhoff.de/Gewindegenerierung/RIVKLE-Blindnietmuttern/RIVKLE-Standard/RIVKLE-Standard-Blindnietmuttern.html?force_sid=58b33f75c71745bd320295524b3ca137&amp;listtype=search&amp;searchparam=23317050500</t>
  </si>
  <si>
    <t>d=M5 e=4-5</t>
  </si>
  <si>
    <t>999_000_082</t>
  </si>
  <si>
    <t>Einschlagmutter</t>
  </si>
  <si>
    <t>Rampa</t>
  </si>
  <si>
    <t>219120010500</t>
  </si>
  <si>
    <t>https://www.rampa.com/de/de/einschlagmuttern/85-einschlagmuttern-typ-ts.html#/15-material_beschichtung-stahl_verzinkt/137-antrieb-zum_einschlagen/138-typ-typ_ts/451-techn_zulassung-_/2636-lochabstand-_/2638-schlusselweite-_/2639-nutzbares_gewinde-_/2640-zapfenlange-_/2641-schaftaufnahme-_/2642-ausfuhrung-_/2643-drehmomentbereich-_/2644-drehzahlbereich-_/2645-reichweite-_/3506-100_kontrolle-_/474-lange-12/463-verpackungseinheit-500/458-gewinde-m10/649-durchmesser-12_6/2691-kopfdurchmesser-18_5</t>
  </si>
  <si>
    <t>999_000_083</t>
  </si>
  <si>
    <t>https://eshop.boellhoff.de/Gewindegenerierung/RIVKLE-Blindnietmuttern/RIVKLE-Standard/RIVKLE-Standard-Blindnietmuttern.html?force_sid=58b33f75c71745bd320295524b3ca137&amp;listtype=search&amp;searchparam=23317100600</t>
  </si>
  <si>
    <t>d=m10 e=4,5-6</t>
  </si>
  <si>
    <t>999_000_084</t>
  </si>
  <si>
    <t>9338.8VZ520</t>
  </si>
  <si>
    <t>https://eshop.boellhoff.de/Schrauben/Schrauben-mit-Aussenkraftangriff/Sechskantschrauben/Sechskantschrauben-Stahl-8-8-verzinkt-M-5-20-500-Stk.html?force_sid=58b33f75c71745bd320295524b3ca137&amp;redirected=1</t>
  </si>
  <si>
    <t>999_000_085</t>
  </si>
  <si>
    <t>912109VZ825</t>
  </si>
  <si>
    <t>https://eshop.boellhoff.de/Schrauben/Schrauben-mit-Innenkraftangriff/Zylinderschrauben/Zylinderschrauben-Stahl-10-9-verzinkt-M-8-25-200-Stk.html?force_sid=58b33f75c71745bd320295524b3ca137&amp;redirected=1</t>
  </si>
  <si>
    <t>999_000_086</t>
  </si>
  <si>
    <t>Nutmutter selbstsichernd</t>
  </si>
  <si>
    <t>M30x1,5</t>
  </si>
  <si>
    <t>5</t>
  </si>
  <si>
    <t>GN 1804.1-M30X1,5</t>
  </si>
  <si>
    <t>https://www.ganternorm.com/de/produkte/3.2-Befestigen-Positionieren-Nivellieren-mit-Schraub-Klemm-und-Auflageelementen/Muttern/GN-1804.1-Nutmuttern-selbstsichernd#d1%3Du(79da2d86-74ad-41fa-bf30-39814043cb9d)</t>
  </si>
  <si>
    <t>999_000_087</t>
  </si>
  <si>
    <t>00848  55</t>
  </si>
  <si>
    <t>https://eshop.wuerth.de/Zylinderschraube-mit-Innensechskant-SHR-ZYL-ISO4762-88-IS6-A2K-M8X55/00848%20%2055.sku/WuerthGroup-Wuerth.cgid/de/DE/EUR/?ReplacementProduct=false&amp;CampaignName=SR007&amp;VisibleSearchTerm=00848+55</t>
  </si>
  <si>
    <t>999_000_088</t>
  </si>
  <si>
    <t>Halbrundkopfschraube</t>
  </si>
  <si>
    <t>7380-2109VZ625</t>
  </si>
  <si>
    <t>https://eshop.boellhoff.de/Schrauben/Schrauben-mit-Innenkraftangriff/Linsenflanschkopfschrauben/Halbrundkopfschrauben-Stahl-10-9-verzinkt-M-6-25-500-Stk.html?force_sid=58b33f75c71745bd320295524b3ca137&amp;redirected=1</t>
  </si>
  <si>
    <t>999_000_089</t>
  </si>
  <si>
    <t>9338.8VZ850</t>
  </si>
  <si>
    <t>https://eshop.boellhoff.de/Schrauben/Schrauben-mit-Aussenkraftangriff/Sechskantschrauben/Sechskantschrauben-Stahl-8-8-verzinkt-M-8-50-200-Stk-/.html?force_sid=58b33f75c71745bd320295524b3ca137&amp;redirected=1</t>
  </si>
  <si>
    <t>999_000_090</t>
  </si>
  <si>
    <t>79848.8VZ520</t>
  </si>
  <si>
    <t>https://eshop.boellhoff.de/Schrauben/Schrauben-mit-Innenkraftangriff/Zylinderschrauben/Zylinderschrauben-Stahl-08-8-verzinkt-M-5-20-500-Stk-/.html?force_sid=58b33f75c71745bd320295524b3ca137&amp;redirected=1</t>
  </si>
  <si>
    <t>999_000_091</t>
  </si>
  <si>
    <t>9128.8VZ518</t>
  </si>
  <si>
    <t>https://eshop.boellhoff.de/Schrauben/Schrauben-mit-Innenkraftangriff/Zylinderschrauben/Zylinderschrauben-Stahl-8-8-verzinkt-M-5-18-500-Stk.html?force_sid=58b33f75c71745bd320295524b3ca137&amp;redirected=1</t>
  </si>
  <si>
    <t>999_000_092</t>
  </si>
  <si>
    <t>9128.8VZ645</t>
  </si>
  <si>
    <t>https://eshop.boellhoff.de/Schrauben/Schrauben-mit-Innenkraftangriff/Zylinderschrauben/Zylinderschrauben-Stahl-8-8-verzinkt-M-6-45-200-Stk.html?force_sid=58b33f75c71745bd320295524b3ca137&amp;redirected=1</t>
  </si>
  <si>
    <t>999_000_093</t>
  </si>
  <si>
    <t>7380-2109VZ510</t>
  </si>
  <si>
    <t>https://eshop.boellhoff.de/Schrauben/Schrauben-mit-Innenkraftangriff/Linsenflanschkopfschrauben/Halbrundkopfschrauben-Stahl-10-9-verzinkt-M-5-10-500-Stk.html?force_sid=58b33f75c71745bd320295524b3ca137&amp;redirected=1</t>
  </si>
  <si>
    <t>RIVKLE_SECHSKANT_BLINDNIETMUTTER_M8_34341080060</t>
  </si>
  <si>
    <t>999_000_094</t>
  </si>
  <si>
    <t>sechskant Blindnietmutter</t>
  </si>
  <si>
    <t>https://eshop.boellhoff.de/Gewindegenerierung/RIVKLE-Blindnietmuttern/RIVKLE-Standard/RIVKLE-Standard-Blindnietmuttern-/-20.html?force_sid=58b33f75c71745bd320295524b3ca137&amp;listtype=search&amp;searchparam=34341080060</t>
  </si>
  <si>
    <t>d=M8 e=3,5-6</t>
  </si>
  <si>
    <t>999_000_095</t>
  </si>
  <si>
    <t>9128.8VZ865</t>
  </si>
  <si>
    <t>https://eshop.boellhoff.de/Schrauben/Schrauben-mit-Innenkraftangriff/Zylinderschrauben/Zylinderschrauben-Stahl-8-8-verzinkt-M-8-65-200-Stk.html?force_sid=58b33f75c71745bd320295524b3ca137&amp;redirected=1</t>
  </si>
  <si>
    <t>999_000_096</t>
  </si>
  <si>
    <t xml:space="preserve">ISO 4032 </t>
  </si>
  <si>
    <t>403210VZ8</t>
  </si>
  <si>
    <t>https://eshop.boellhoff.de/Muttern/Muttern-ohne-Sicherungsfunktion/Sechskantmuttern/Sechskantmuttern-Stahl-10-verzinkt-M-8-1000-Stk-/.html?force_sid=58b33f75c71745bd320295524b3ca137&amp;redirected=1</t>
  </si>
  <si>
    <t>79918.8VZ820</t>
  </si>
  <si>
    <t>https://eshop.boellhoff.de/Schrauben/Schrauben-mit-Innenkraftangriff/Senkschrauben/Senkschrauben-Stahl-8-8-verzinkt-M-8-20-200-Stk.html?force_sid=58b33f75c71745bd320295524b3ca137&amp;redirected=1</t>
  </si>
  <si>
    <t>9338.8VZ1090</t>
  </si>
  <si>
    <t>https://eshop.boellhoff.de/Schrauben/Schrauben-mit-Aussenkraftangriff/Sechskantschrauben/Sechskantschrauben-Stahl-8-8-verzinkt-M-10-90-50-Stk-/.html?force_sid=58b33f75c71745bd320295524b3ca137&amp;redirected=1</t>
  </si>
  <si>
    <t xml:space="preserve">SECHSKANTSCHRAUBE_M10x70_DIN933_9338.8VZ1070 </t>
  </si>
  <si>
    <t>999_000_099</t>
  </si>
  <si>
    <t xml:space="preserve">9338.8VZ1070 </t>
  </si>
  <si>
    <t>https://eshop.boellhoff.de/Schrauben/Schrauben-mit-Aussenkraftangriff/Sechskantschrauben/Sechskantschrauben-Stahl-8-8-verzinkt-M-10-70-100-Stk.html?force_sid=58b33f75c71745bd320295524b3ca137&amp;redirected=1</t>
  </si>
  <si>
    <t>999_000_100</t>
  </si>
  <si>
    <t>79918.8VZ518</t>
  </si>
  <si>
    <t>https://eshop.boellhoff.de/Schrauben/Schrauben-mit-Innenkraftangriff/Senkschrauben/Senkschrauben-Stahl-8-8-verzinkt-M-5-18-500-Stk.html?force_sid=58b33f75c71745bd320295524b3ca137&amp;redirected=1</t>
  </si>
  <si>
    <t>999_000_101</t>
  </si>
  <si>
    <t>ISO 4762</t>
  </si>
  <si>
    <t>47628.8VZD514</t>
  </si>
  <si>
    <t>https://eshop.boellhoff.de/Schrauben/Schrauben-mit-Innenkraftangriff/Zylinderschrauben/Zylinderschrauben-Stahl-8-8-verzinkt-dickschichtpassiviert-VZD-M-5-14-500-Stk.html?force_sid=58b33f75c71745bd320295524b3ca137&amp;redirected=1</t>
  </si>
  <si>
    <t>999_000_102</t>
  </si>
  <si>
    <t>ISO 4017</t>
  </si>
  <si>
    <t>https://eshop.wuerth.de/Sechskantschraube-mit-Gewinde-bis-Kopf-SHR-6KT-ISO4017-88-SW16-A2K-M10X170/0057910170.sku/WuerthGroup-Wuerth.cgid/de/DE/EUR/?ReplacementProduct=false&amp;CampaignName=SR007&amp;VisibleSearchTerm=SHR-6KT-ISO4017-8.8-SW16-%28A2K%29-M10X170</t>
  </si>
  <si>
    <t>999_000_103</t>
  </si>
  <si>
    <t>9338.8VZ820</t>
  </si>
  <si>
    <t>https://eshop.boellhoff.de/Schrauben/Schrauben-mit-Aussenkraftangriff/Sechskantschrauben/Sechskantschrauben-Stahl-8-8-verzinkt-M-8-20-200-Stk.html?force_sid=58b33f75c71745bd320295524b3ca137&amp;redirected=1</t>
  </si>
  <si>
    <t>999_000_104</t>
  </si>
  <si>
    <t>9338.8VZ1065</t>
  </si>
  <si>
    <t>https://eshop.boellhoff.de/Schrauben/Schrauben-mit-Aussenkraftangriff/Sechskantschrauben/Sechskantschrauben-Stahl-8-8-verzinkt-M-10-65-100-Stk.html?force_sid=58b33f75c71745bd320295524b3ca137&amp;redirected=1</t>
  </si>
  <si>
    <t>SENKSCHRAUBE_M6x20_DIN_7991_79918.8VZ620</t>
  </si>
  <si>
    <t>999_000_105</t>
  </si>
  <si>
    <t>79918.8VZ620</t>
  </si>
  <si>
    <t>https://eshop.boellhoff.de/Schrauben/Schrauben-mit-Innenkraftangriff/Senkschrauben/Senkschrauben-Stahl-8-8-verzinkt-M-6-20-500-Stk.html?force_sid=58b33f75c71745bd320295524b3ca137&amp;redirected=1</t>
  </si>
  <si>
    <t>Sicherrungsschraube</t>
  </si>
  <si>
    <t>W158100VZ840</t>
  </si>
  <si>
    <t>https://eshop.boellhoff.de/Schrauben/Schrauben-mit-Aussenkraftangriff/Sicherungsschrauben/RIPP-LOCK-Sicherungsschrauben-Stahl-verzinkt-M-8-40-200-Stk.html?force_sid=58b33f75c71745bd320295524b3ca137&amp;redirected=1</t>
  </si>
  <si>
    <t>9021VZ5,3</t>
  </si>
  <si>
    <t>https://eshop.boellhoff.de/Scheiben/Unterlegscheiben/Scheiben/Scheiben-Stahl-140-HV-verzinkt-5-3-1000-Stk.html?force_sid=58b33f75c71745bd320295524b3ca137&amp;redirected=1</t>
  </si>
  <si>
    <t>FEDERRING_D6_DIN_128_128VZA6</t>
  </si>
  <si>
    <t>999_000_108</t>
  </si>
  <si>
    <t>Federring</t>
  </si>
  <si>
    <t>DIN 128</t>
  </si>
  <si>
    <t>128VZ/A6</t>
  </si>
  <si>
    <t>https://eshop.boellhoff.de/Scheiben/Federnde-Scheiben-Federringe/Federringe-Federscheiben/Federringe-Federstahl-verzinkt-6-1000-Stk.html?force_sid=58b33f75c71745bd320295524b3ca137&amp;redirected=1</t>
  </si>
  <si>
    <t>SITEC_BLINDNIETMUTTER_M5_24300050300/10</t>
  </si>
  <si>
    <t>999_000_109</t>
  </si>
  <si>
    <t>Kunststoffumspritzt</t>
  </si>
  <si>
    <t>24300050300/10</t>
  </si>
  <si>
    <t>https://eshop.boellhoff.de/Sonstiges/SITEC-Rivet/SITEC-Rivet-Blindnietmuttern-mit-Kunststoffumspritzung-Messing-Rundloch-Flachkopf-Offen-M-5-0-50-3-00-2500-Stk.html?force_sid=58b33f75c71745bd320295524b3ca137&amp;redirected=1#videoArea</t>
  </si>
  <si>
    <t>d=M5 e=0,5-3</t>
  </si>
  <si>
    <t>Abgeflachter Halbrundkopf</t>
  </si>
  <si>
    <t>ISO 7380</t>
  </si>
  <si>
    <t>https://eshop.wuerth.de/Schraube-abgeflachter-Halbrundkopf-und-Innensechskant-SHR-HRD-ISO7380-1-A2-070-IS3-M5X25/009801525.sku/WuerthGroup-Wuerth.cgid/de/DE/EUR/?ReplacementProduct=false&amp;CampaignName=SR007&amp;VisibleSearchTerm=009801525</t>
  </si>
  <si>
    <t>HUTMUTTER_1_4_ZOLL_20_GRAINGER_6RA46</t>
  </si>
  <si>
    <t>999_000_111</t>
  </si>
  <si>
    <t>Hutmutter</t>
  </si>
  <si>
    <t>UNC 1/4"-20</t>
  </si>
  <si>
    <t>GRAINGER</t>
  </si>
  <si>
    <t>6RA46</t>
  </si>
  <si>
    <t>https://www.grainger.com/product/GRAINGER-APPROVED-Cap-Nut-Cap-Nut-Nut-6RA46</t>
  </si>
  <si>
    <t>999_000_112</t>
  </si>
  <si>
    <t>DIN 6921</t>
  </si>
  <si>
    <t>69218.8VZ1025</t>
  </si>
  <si>
    <t>https://eshop.boellhoff.de/Schrauben/Schrauben-mit-Aussenkraftangriff/Sechskantschrauben/Sechskantschrauben-Stahl-8-8-verzinkt-10-25-100-Stk.html?force_sid=58b33f75c71745bd320295524b3ca137&amp;redirected=1</t>
  </si>
  <si>
    <t>999_000_113</t>
  </si>
  <si>
    <t>79918.8vz430</t>
  </si>
  <si>
    <t>https://eshop.boellhoff.de/Schrauben/Schrauben-mit-Innenkraftangriff/Senkschrauben/Senkschrauben-Stahl-8-8-verzinkt-M-4-30-500-Stk.html?force_sid=58b33f75c71745bd320295524b3ca137&amp;redirected=1</t>
  </si>
  <si>
    <t>999_000_114</t>
  </si>
  <si>
    <t>125VZ4,3</t>
  </si>
  <si>
    <t>https://eshop.boellhoff.de/Scheiben/Unterlegscheiben/Scheiben/Scheiben-Stahl-140-HV-verzinkt-4-3-10000-Stk.html?force_sid=58b33f75c71745bd320295524b3ca137&amp;redirected=1</t>
  </si>
  <si>
    <t>999_000_115</t>
  </si>
  <si>
    <t>69128.8VZ650</t>
  </si>
  <si>
    <t>https://eshop.boellhoff.de/Schrauben/Schrauben-mit-Innenkraftangriff/Zylinderschrauben/Zylinderschrauben-/.html?force_sid=58b33f75c71745bd320295524b3ca137&amp;listtype=search&amp;searchparam=DIN_912</t>
  </si>
  <si>
    <t>999_000_116</t>
  </si>
  <si>
    <t>DIN 934</t>
  </si>
  <si>
    <t>9348VZ10</t>
  </si>
  <si>
    <t>https://eshop.boellhoff.de/Muttern/Muttern-ohne-Sicherungsfunktion/Sechskantmuttern/Sechskantmuttern-Stahl-8-verzinkt-M-10-500-Stk-/-1.html?force_sid=58b33f75c71745bd320295524b3ca137&amp;redirected=1</t>
  </si>
  <si>
    <t>M12</t>
  </si>
  <si>
    <t>9021VZ13</t>
  </si>
  <si>
    <t>Sicherungsring Lager</t>
  </si>
  <si>
    <t>Bolzen</t>
  </si>
  <si>
    <t>Radbolzen</t>
  </si>
  <si>
    <t>M10x1.25</t>
  </si>
  <si>
    <t>Konusmutter</t>
  </si>
  <si>
    <t>Radmutter</t>
  </si>
  <si>
    <t>ZnNi passiviert oä. | Min. 480h Salzsprühnebel - Soll 720h | Reibwert µ=0.08 bis 0.18</t>
  </si>
  <si>
    <t>LINSENSCHRAUBE_I6R M6x30 10.9 (ISO 7045|DIN 7985)</t>
  </si>
  <si>
    <t>Linsenschraube</t>
  </si>
  <si>
    <t>ISO 7045|DIN 7985</t>
  </si>
  <si>
    <t>ZnNi passiviert oä. | Min. 480h Salzsprühnebel - Soll 720h | Reibwert µ=0.08 bis 0.19</t>
  </si>
  <si>
    <t>Selbstsichernde 6KT-Flanschmutter</t>
  </si>
  <si>
    <t>M12x1.5</t>
  </si>
  <si>
    <t>ZnNi passiviert oä. | Min. 480h Salzsprühnebel - Soll 720h | Reibwert µ=0.08 bis 0.20</t>
  </si>
  <si>
    <t>A6R_FLANSCHSCHRAUBE M8x55 10.9 (DIN 34801)</t>
  </si>
  <si>
    <t>A6R-Flanschschraube</t>
  </si>
  <si>
    <t>ZnNi passiviert oä. | Min. 480h Salzsprühnebel - Soll 720h | Reibwert µ=0.08 bis 0.31</t>
  </si>
  <si>
    <t>ISO 7044/EN1664</t>
  </si>
  <si>
    <t>ZnNi passiviert oä. | Min. 480h Salzsprühnebel - Soll 720h | Reibwert µ=0.08 bis 0.21</t>
  </si>
  <si>
    <t>https://eshop.wuerth.de/Produktkategorien/EN-1664-Stahl-10-verzinkt/14013512130403.cyid/1401.cgid/de/DE/EUR/</t>
  </si>
  <si>
    <t>6KT-Flanschmutter</t>
  </si>
  <si>
    <t>BM8</t>
  </si>
  <si>
    <t>ZnNi passiviert oä. | Min. 480h Salzsprühnebel - Soll 720h | Reibwert µ=0.08 bis 0.22</t>
  </si>
  <si>
    <t>ZnNi passiviert oä. | Min. 480h Salzsprühnebel - Soll 720h | Reibwert µ=0.08 bis 0.23</t>
  </si>
  <si>
    <t>PASSSCHRAUBE D8 ABGESETZT M6x30 (ISO 7379-8-M6-30)</t>
  </si>
  <si>
    <t>ISO 7379 - 8</t>
  </si>
  <si>
    <t>ZnNi passiviert oä. | Min. 480h Salzsprühnebel - Soll 720h | Reibwert µ=0.08 bis 0.24</t>
  </si>
  <si>
    <t>Unterlegscheibe</t>
  </si>
  <si>
    <t>ZnNi passiviert oä. | Min. 480h Salzsprühnebel - Soll 720h | Reibwert µ=0.08 bis 0.25</t>
  </si>
  <si>
    <t>SELBSTSICHERNDE_SECHSKANTFLANSCHMUTTER M6 10.9 (ISO 7044)</t>
  </si>
  <si>
    <t>ZnNi passiviert oä. | Min. 480h Salzsprühnebel - Soll 720h | Reibwert µ=0.08 bis 0.26</t>
  </si>
  <si>
    <t>A6R_FLANSCHSCHRAUBE M8x50 10.9 (DIN 34801)</t>
  </si>
  <si>
    <t>ZnNi passiviert oä. | Min. 480h Salzsprühnebel - Soll 720h | Reibwert µ=0.08 bis 0.27</t>
  </si>
  <si>
    <t>SELBSTSICHERNDE_SECHSKANTFLANSCHMUTTER M10x1.5 10.9 (ISO 7044)</t>
  </si>
  <si>
    <t>M10x1.5</t>
  </si>
  <si>
    <t>ZnNi passiviert oä. | Min. 480h Salzsprühnebel - Soll 720h | Reibwert µ=0.08 bis 0.28</t>
  </si>
  <si>
    <t>A6R_FLANSCHSCHRAUBE M8x30 10.9 (DIN 34801)</t>
  </si>
  <si>
    <t>ZnNi passiviert oä. | Min. 480h Salzsprühnebel - Soll 720h | Reibwert µ=0.08 bis 0.29</t>
  </si>
  <si>
    <t>LINSENSCHRAUBE_I6R M5x20 10.9 (ISO 7045|DIN 7985)</t>
  </si>
  <si>
    <t>ZnNi passiviert oä. | Min. 480h Salzsprühnebel - Soll 720h | Reibwert µ=0.08 bis 0.30</t>
  </si>
  <si>
    <t>A6R_FLANSCHSCHRAUBE M8x60 10.9 (DIN 34801)</t>
  </si>
  <si>
    <t>SECHSKANTFLANSCHMUTTER M14x1.5 10.9 (DIN 6923)</t>
  </si>
  <si>
    <t>M14x1.5</t>
  </si>
  <si>
    <t>ZnNi passiviert oä. | Min. 480h Salzsprühnebel - Soll 720h | Reibwert µ=0.08 bis 0.32</t>
  </si>
  <si>
    <t>LINSENSCHRAUBE_I6R M6x12 10.9 (ISO 7045|DIN 7985)</t>
  </si>
  <si>
    <t>ZnNi passiviert oä. | Min. 480h Salzsprühnebel - Soll 720h | Reibwert µ=0.08 bis 0.33</t>
  </si>
  <si>
    <t>ZYLINDERSCHRAUBE_I6R M6x35 10.9 (ISO 14579 - 2001)</t>
  </si>
  <si>
    <t>ISO 14579 - 2001</t>
  </si>
  <si>
    <t>ZnNi passiviert oä. | Min. 480h Salzsprühnebel - Soll 720h | Reibwert µ=0.08 bis 0.34</t>
  </si>
  <si>
    <t>ZnNi passiviert oä. | Min. 480h Salzsprühnebel - Soll 720h | Reibwert µ=0.08 bis 0.35</t>
  </si>
  <si>
    <t>043960 209</t>
  </si>
  <si>
    <t>A6R_FLANSCHSCHRAUBE M12x1.5x25 10.9 (DIN 34801)</t>
  </si>
  <si>
    <t>ZnNi passiviert oä. | Min. 480h Salzsprühnebel - Soll 720h | Reibwert µ=0.08 bis 0.36</t>
  </si>
  <si>
    <t>SCHEIBE  M12 GROSS (ISO 7093-1)</t>
  </si>
  <si>
    <t>Unterlegscheibe gross</t>
  </si>
  <si>
    <t>ZnNi passiviert oä. | Min. 480h Salzsprühnebel - Soll 720h | Reibwert µ=0.08 bis 0.37</t>
  </si>
  <si>
    <t>999_000_226</t>
  </si>
  <si>
    <t>blank</t>
  </si>
  <si>
    <t>929ST8</t>
  </si>
  <si>
    <t>https://eshop.boellhoff.de/Muttern/Schweissmuttern/Sechskant-Schweissmuttern/Sechskant-Schweissmuttern-Stahl-blank-M-8-1000-Stk.html?force_sid=977b936d142c5d875c0c77829bfbfdf5&amp;uid=a71b1ef0d7ebff3e5c6758e2f83e5029&amp;site=1&amp;userInput=929ST8&amp;ignoreForCache[]=userInput&amp;queryFromSuggest=true&amp;ignoreForCache[]=queryFromSuggest</t>
  </si>
  <si>
    <t>https://eshop.boellhoff.de/Schrauben/Schrauben-mit-Innenkraftangriff/Senkschrauben/Senkschrauben-Stahl-8-8-verzinkt-M-5-14-500-Stk.html?force_sid=cb5c705a262e8827382b2af4f74bdd5b&amp;redirected=1</t>
  </si>
  <si>
    <t>999_000_228</t>
  </si>
  <si>
    <t>9128.8VZ850</t>
  </si>
  <si>
    <t>999_000_229</t>
  </si>
  <si>
    <t>Kabelbinder</t>
  </si>
  <si>
    <t>999_000_230</t>
  </si>
  <si>
    <t>999_000_231</t>
  </si>
  <si>
    <t>Kabelclip</t>
  </si>
  <si>
    <t>FLANSCHLAGER IGUS PFL206_JEM_30_16_SP</t>
  </si>
  <si>
    <t>999_000_232</t>
  </si>
  <si>
    <t>Lager</t>
  </si>
  <si>
    <t>Flanschlager</t>
  </si>
  <si>
    <t>999_000_233</t>
  </si>
  <si>
    <t>Gelenklager</t>
  </si>
  <si>
    <t>Kabelspanner_Bowdenzug_Festellbremse</t>
  </si>
  <si>
    <t>999_000_234</t>
  </si>
  <si>
    <t>Selker Bowdenzug</t>
  </si>
  <si>
    <t>999_000_235</t>
  </si>
  <si>
    <t>999_000_236</t>
  </si>
  <si>
    <t>999_000_237</t>
  </si>
  <si>
    <t>https://eshop.boellhoff.de/Gewindegenerierung/RIVKLE-Blindnietmuttern/RIVKLE-Standard/RIVKLE-Standard-Blindnietmuttern-Stahl-verzinkt-Rundloch-Geraendelt-Senkkopf-Offen-M-5-4-00-5-00-2500-Stk.html?force_sid=3dcac5670fa115544883eaef3229e691&amp;uid=a71b1ef0d7ebff3e5c6758e2f83e5029&amp;site=1&amp;userInput=23317050500&amp;ignoreForCache[]=userInput&amp;queryFromSuggest=true&amp;ignoreForCache[]=queryFromSuggest</t>
  </si>
  <si>
    <t>0,019</t>
  </si>
  <si>
    <t>9128.8VZ835</t>
  </si>
  <si>
    <t>https://eshop.boellhoff.de/Schrauben/Schrauben-mit-Innenkraftangriff/Zylinderschrauben/Zylinderschrauben-Stahl-8-8-verzinkt-M-8-35-200-Stk.html?force_sid=d247e4e94371700799815842e87b876e&amp;site=1&amp;userInput=9128.8VZ835%20&amp;ignoreForCache[]=userInput&amp;queryFromSuggest=true&amp;ignoreForCache[]=queryFromSuggest</t>
  </si>
  <si>
    <t>100</t>
  </si>
  <si>
    <t>W158100VZ825</t>
  </si>
  <si>
    <t>https://eshop.boellhoff.de/Schrauben/Schrauben-mit-Sicherungsfunktion/Sicherungsschrauben/RIPP-LOCK-Sicherungsschrauben-/.html?force_sid=43a4bbf1c67714c7a514574d6f547582&amp;redirected=1</t>
  </si>
  <si>
    <t>999_000_303</t>
  </si>
  <si>
    <t>Blindniet</t>
  </si>
  <si>
    <t>Standard</t>
  </si>
  <si>
    <t>999_000_304</t>
  </si>
  <si>
    <t>79918.8VZ410</t>
  </si>
  <si>
    <t>999_000_305</t>
  </si>
  <si>
    <t>EJOT</t>
  </si>
  <si>
    <t>E5451VZ4016</t>
  </si>
  <si>
    <t>999_000_306</t>
  </si>
  <si>
    <t>9338.8VZ616</t>
  </si>
  <si>
    <t>999_000_307</t>
  </si>
  <si>
    <t>Spannscheibe</t>
  </si>
  <si>
    <t>DIN 6796</t>
  </si>
  <si>
    <t>6796FSTMZ6</t>
  </si>
  <si>
    <t>999_000_308</t>
  </si>
  <si>
    <t>22132130090/01</t>
  </si>
  <si>
    <t>https://eshop.boellhoff.de/Niettechnik/RIVQUICK-Blindniete/Standardblindniete/RIVQUICK-Standardblindniete-Stahl-verzinkt-Stahl-verzinkt-Flachrundkopf-3-9-5-00-6-00-500-Stk.html?force_sid=e5e1f90e4e74395136ee4494b168f830&amp;redirected=1</t>
  </si>
  <si>
    <t>999_000_309</t>
  </si>
  <si>
    <t>Sprengring Welle</t>
  </si>
  <si>
    <t>WN 490</t>
  </si>
  <si>
    <t>049099 055</t>
  </si>
  <si>
    <t>https://eshop.wuerth.de/Sprengring-Form-SW-fuer-Welle-SPRENGRG-SW-D550/049099%20055.sku/de/DE/EUR/</t>
  </si>
  <si>
    <t>999_000_310</t>
  </si>
  <si>
    <t>Sicherungsring Bohrung</t>
  </si>
  <si>
    <t>https://eshop.wuerth.de/Sicherungsring-fuer-Bohrung-Regelausfuehrung-Form-J-DIN-472-fuer-Bohrungen-Federstahl-phosphatiert-und-geoelt-SIRG-BO-DIN472-J-32X12/043932.sku/de/DE/EUR/</t>
  </si>
  <si>
    <t>SPRENGRING_SB_D32_WN_490</t>
  </si>
  <si>
    <t>999_000_311</t>
  </si>
  <si>
    <t>https://eshop.wuerth.de/Sprengring-Form-SB-fuer-Bohrung-SPRENGRG-SB-D320/0490999032.sku/de/DE/EUR/</t>
  </si>
  <si>
    <t>LINSENSCHRAUBE_TX_M6x30_10.9_ISO_14583</t>
  </si>
  <si>
    <t>ISO 14583</t>
  </si>
  <si>
    <t>Zinklamellen</t>
  </si>
  <si>
    <t>PIL.Z8288-M6X30      -10.9 ZL    -T30-GEO</t>
  </si>
  <si>
    <t>999_000_313</t>
  </si>
  <si>
    <t>ISO 14584</t>
  </si>
  <si>
    <t>PIL.Z8288-M6X35      -10.9 ZL    -T30-GEO</t>
  </si>
  <si>
    <t>RIVKLE_Blindnietmutter_M6_0.5-3_23301060030</t>
  </si>
  <si>
    <t>999_000_314</t>
  </si>
  <si>
    <t>999_000_315</t>
  </si>
  <si>
    <t>boellhoff</t>
  </si>
  <si>
    <t xml:space="preserve">Sprengring </t>
  </si>
  <si>
    <t xml:space="preserve">Sprengring Bohrung </t>
  </si>
  <si>
    <t xml:space="preserve">Würth </t>
  </si>
  <si>
    <t>https://eshop.wuerth.de/Produktkategorien/Sprengring-fuer-Bohrung-Stahl-blank/14013516130103.cyid/1401.cgid/de/DE/EUR/;pgid=_SyqelfHuAE7AgenBedw0kx100002t0T9c4w;sid=DSQvA_CPbEsuA5QTKAiiCACFY3tpKTinQLr8YCh9</t>
  </si>
  <si>
    <t>PASSSCHRAUBE_M8x25_D10_ISO_7379</t>
  </si>
  <si>
    <t>999_000_319</t>
  </si>
  <si>
    <t xml:space="preserve">Passchraube </t>
  </si>
  <si>
    <t>12.9</t>
  </si>
  <si>
    <t xml:space="preserve">brüniert </t>
  </si>
  <si>
    <t xml:space="preserve">Ganter </t>
  </si>
  <si>
    <t>https://www.ganternorm.com/de/produkte/3.2-Befestigen-Positionieren-Nivellieren-mit-Schraub-Klemm-und-Auflageelementen/Augenschrauben-Passschrauben-Druckschrauben/ISO-7379-Passschrauben#d1%3Dc(16)%3Bd2%3Du(edaeb7f5-028e-4605-baf4-f89962bb5a74)%3Bl1%3Dc(25)</t>
  </si>
  <si>
    <t>SICHERUNGSMUTTER_M4_DIN_6923</t>
  </si>
  <si>
    <t>999_000_320</t>
  </si>
  <si>
    <t xml:space="preserve">verzinkt </t>
  </si>
  <si>
    <t>530128VZ4</t>
  </si>
  <si>
    <t>Böllhoff | Sicherungsmuttern | B2B eShop (boellhoff.de)</t>
  </si>
  <si>
    <t>999_000_321</t>
  </si>
  <si>
    <t>https://eshop.boellhoff.de/Niettechnik/RIVQUICK-Blindniete/Standardblindniete/RIVQUICK-Standardblindniete-/-9.html</t>
  </si>
  <si>
    <t>RIVQUICK_Standardblindniet_4_WS_3-5_22132140090</t>
  </si>
  <si>
    <t>999_000_322</t>
  </si>
  <si>
    <t xml:space="preserve">https://eshop.boellhoff.de/Niettechnik/RIVQUICK-Blindniete/Standardblindniete/RIVQUICK-Standardblindniete-/-2.html </t>
  </si>
  <si>
    <t>https://eshop.boellhoff.de/Gewindegenerierung/RIVKLE-Blindnietmuttern/RIVKLE-Standard/RIVKLE-Standard-Blindnietmuttern.html</t>
  </si>
  <si>
    <t>SICHERUNGSSCHRAUBE_RIPPLOCK_M8X12_W158100VZ812</t>
  </si>
  <si>
    <t>999_000_324</t>
  </si>
  <si>
    <t>W158100VZ812</t>
  </si>
  <si>
    <t>https://eshop.boellhoff.de/Schrauben/Schrauben-mit-Aussenkraftangriff/Sicherungsschrauben/RIPP-LOCK-Sicherungsschrauben-Stahl-verzinkt-M-8-40-200-Stk.html?uid=a71b1ef0d7ebff3e5c6758e2f83e5029&amp;site=1&amp;userInput=W158100VZ840&amp;ignoreForCache[]=userInput&amp;queryFromSuggest=true&amp;ignoreForCache[]=queryFromSuggest</t>
  </si>
  <si>
    <t>NEOPREN_EINNIETMUTTERN_M4X12,6_0948754</t>
  </si>
  <si>
    <t>999_000_325</t>
  </si>
  <si>
    <t>Nietmutter</t>
  </si>
  <si>
    <t>Einnietmutter Flachrundkopf (094875 4) online kaufen | WÜRTH (wuerth.de)</t>
  </si>
  <si>
    <t>999_000_326</t>
  </si>
  <si>
    <t xml:space="preserve">Schraube </t>
  </si>
  <si>
    <t>zylinderschraube</t>
  </si>
  <si>
    <t>47628.8VZD416</t>
  </si>
  <si>
    <t>Böllhoff | Zylinderschrauben | B2B eShop (boellhoff.de)</t>
  </si>
  <si>
    <t>999_000_327</t>
  </si>
  <si>
    <t>SECHSKANTSCHRAUBE_M8x12_DIN_933_9338.8VZ812</t>
  </si>
  <si>
    <t>999_000_328</t>
  </si>
  <si>
    <t>9338.8VZ812</t>
  </si>
  <si>
    <t>https://eshop.boellhoff.de/Schrauben/Schrauben-mit-Aussenkraftangriff/Sechskantschrauben/Sechskantschrauben-/-4.html?listtype=search&amp;searchparam=8VZ825</t>
  </si>
  <si>
    <t>schraube</t>
  </si>
  <si>
    <t>999_000_330</t>
  </si>
  <si>
    <t>9128.8VZ410</t>
  </si>
  <si>
    <t>SENKSCHRAUBE_M5X12_DIN_7991_79918.8VZ512</t>
  </si>
  <si>
    <t>999_000_331</t>
  </si>
  <si>
    <t>79918.8VZ512</t>
  </si>
  <si>
    <t>999_000_332</t>
  </si>
  <si>
    <t>DIN 7992</t>
  </si>
  <si>
    <t>79918.8VZ48</t>
  </si>
  <si>
    <t>RIVKLE_BLINDNIETMUTTER_M4_5-7_2331104007001</t>
  </si>
  <si>
    <t>999_000_333</t>
  </si>
  <si>
    <t>23311040070/01</t>
  </si>
  <si>
    <t>Böllhoff | RIVKLE® Standard Blindnietmuttern | B2B eShop (boellhoff.de)</t>
  </si>
  <si>
    <t>SECHSKANTSCHRAUBE_M8X45_DIN933_9338.8VZ845</t>
  </si>
  <si>
    <t>999_000_334</t>
  </si>
  <si>
    <t>9338.8VZ845</t>
  </si>
  <si>
    <t>RIVKLE_STANDARD_GERAENDELT_M6_WS_1,5-3_23317060300</t>
  </si>
  <si>
    <t>999_000_335</t>
  </si>
  <si>
    <t>SECHSKANT-HUTMUTTER_M4_DIN986_9868VZ4</t>
  </si>
  <si>
    <t>999_000_336</t>
  </si>
  <si>
    <t>DIN 986</t>
  </si>
  <si>
    <t>9868VZ4</t>
  </si>
  <si>
    <t>999_000_337</t>
  </si>
  <si>
    <t>Helicoil</t>
  </si>
  <si>
    <t>Böllhoff | HELICOIL® Plus Free Running Gewindeeinsatz | B2B eShop (boellhoff.de)</t>
  </si>
  <si>
    <t>KAROSSERIESCHEIBE_D12,5_DIN_4759.3_9022VZ3512,5</t>
  </si>
  <si>
    <t>999_000_338</t>
  </si>
  <si>
    <t xml:space="preserve">Scheibe </t>
  </si>
  <si>
    <t xml:space="preserve">Karosseriescheibe </t>
  </si>
  <si>
    <t>B9022</t>
  </si>
  <si>
    <t>9022VZ3512,5</t>
  </si>
  <si>
    <t>Böllhoff | Karosseriescheiben | B2B eShop (boellhoff.de)</t>
  </si>
  <si>
    <t>9022VZ258,4</t>
  </si>
  <si>
    <t>9022VZ3510,5</t>
  </si>
  <si>
    <t>SICHERUNGSSCHRAUBE_RIPPLOCK_M8x35_W158100VZ835</t>
  </si>
  <si>
    <t>999_000_341</t>
  </si>
  <si>
    <t>B158</t>
  </si>
  <si>
    <t>W158100VZ835</t>
  </si>
  <si>
    <t>DIN 34805-2</t>
  </si>
  <si>
    <t>98040860</t>
  </si>
  <si>
    <t>Schraube abgeflachter Halbrundkopf und Bund mit Innensechsrund DIN 34805-2, TX-Antrieb, Edelstahl A2-070 (0098040860) online kaufen | WÜRTH (wuerth.de)</t>
  </si>
  <si>
    <t>999_000_343</t>
  </si>
  <si>
    <t xml:space="preserve">Sechskantschraube </t>
  </si>
  <si>
    <t>933A4512</t>
  </si>
  <si>
    <t>Böllhoff | Sechskantschrauben | B2B eShop (boellhoff.de)</t>
  </si>
  <si>
    <t>999_000_344</t>
  </si>
  <si>
    <t>HELICOIL_PLUS_FREE_RUNNING_M16x2xD_41300160032</t>
  </si>
  <si>
    <t>999_000_345</t>
  </si>
  <si>
    <t>ISO 4014</t>
  </si>
  <si>
    <t>00538 230</t>
  </si>
  <si>
    <t xml:space="preserve">https://eshop.wuerth.de/Sechskantschraube-mit-Schaft-ISO-4014-Stahl-88-verzinkt-blau-passiviert-A2K-SHR-6KT-ISO4014-88-SW13-A2K-M8X230/00538%20%20230.sku/de/DE/EUR/?CampaignName=SR007 </t>
  </si>
  <si>
    <t>999_000_347</t>
  </si>
  <si>
    <t>W158100VZ845</t>
  </si>
  <si>
    <t>https://eshop.boellhoff.de/Schrauben/Schrauben-mit-Aussenkraftangriff/Sicherungsschrauben/RIPP-LOCK-Sicherungsschrauben-Stahl-verzinkt-M-8-40-200-Stk.html?redirected=1</t>
  </si>
  <si>
    <t>999_000_348</t>
  </si>
  <si>
    <t>9128.8VZ48</t>
  </si>
  <si>
    <t>https://eshop.boellhoff.de/Schrauben/Schrauben-mit-Innenkraftangriff/Zylinderschrauben/Zylinderschrauben-Stahl-8-8-verzinkt-M-4-8-1000-Stk.html?redirected=1</t>
  </si>
  <si>
    <t>W158100VZ1060</t>
  </si>
  <si>
    <t>Böllhoff | RIPP LOCK® Sicherungsschrauben | B2B eShop (boellhoff.de)</t>
  </si>
  <si>
    <t>9828VZ10</t>
  </si>
  <si>
    <t>https://eshop.boellhoff.de/Muttern/Muttern-mit-Sicherungsfunktion/Sechskantmuttern/Sechskantmuttern-/-17.html?listtype=search&amp;searchparam=982&amp;anid=1_16342619</t>
  </si>
  <si>
    <t>ISO 10642</t>
  </si>
  <si>
    <t>890418</t>
  </si>
  <si>
    <t>https://eshop.wuerth.de/Senkschraube-mit-Innensechskant-ISO-10642-Stahl-0109-verzinkt-blau-passiviert-A2K-SHR-ISO10642-0109-IS25-A2K-M4X18/008904%2018.sku/de/DE/EUR/?CampaignName=SR001&amp;VisibleSearchTerm=00890418</t>
  </si>
  <si>
    <t>999_000_352</t>
  </si>
  <si>
    <t>https://eshop.boellhoff.de/Muttern/Muttern-mit-Sicherungsfunktion/Sechskantmuttern/Sechskantmuttern-Stahl-08-verzinkt-M-4-1000-Stk.html?redirected=1#more-show-details</t>
  </si>
  <si>
    <t>SECHSKANTSCHRAUBE_M6x50_DIN933_9338.8VZ650</t>
  </si>
  <si>
    <t>999_000_353</t>
  </si>
  <si>
    <t>9338.8VZ650</t>
  </si>
  <si>
    <t>SECHSKANTSCHRAUBE_M8x80_DIN933_9338.8VZ880</t>
  </si>
  <si>
    <t>999_000_354</t>
  </si>
  <si>
    <t>9338.8VZ880</t>
  </si>
  <si>
    <t>999_000_355</t>
  </si>
  <si>
    <t>79918.8VZ412</t>
  </si>
  <si>
    <t>GEWINDESTIFT_ISO_4026_M5X8_45H_402645HVZ58</t>
  </si>
  <si>
    <t>999_000_356</t>
  </si>
  <si>
    <t>Gewindestift</t>
  </si>
  <si>
    <t>ISO 4026</t>
  </si>
  <si>
    <t>45H</t>
  </si>
  <si>
    <t>402645HVZ58</t>
  </si>
  <si>
    <t>https://eshop.boellhoff.de/Schrauben/Schrauben-mit-Innenkraftangriff/Gewindestifte/Gewindestifte-/-10.html?anid=1_626823339</t>
  </si>
  <si>
    <t>GEWINDESTIFT_ISO_4026_M5X10_45H_402645HVZ510</t>
  </si>
  <si>
    <t>999_000_357</t>
  </si>
  <si>
    <t>402645HVZ510</t>
  </si>
  <si>
    <t>https://eshop.boellhoff.de/Schrauben/Schrauben-mit-Innenkraftangriff/Gewindestifte/Gewindestifte-/-10.html?anid=1_626823330</t>
  </si>
  <si>
    <t>SECHSKANTSCHRAUBE_M10X230_DIN_931</t>
  </si>
  <si>
    <t>999_000_358</t>
  </si>
  <si>
    <t>005310 230</t>
  </si>
  <si>
    <t xml:space="preserve">https://eshop.wuerth.de/Sechskantschraube-mit-Schaft-DIN-931-Stahl-88-verzinkt-blau-passiviert-A2K-SHR-6KT-DIN931-88-SW17-A2K-M10X230/005310%20230.sku/de/DE/EUR/ </t>
  </si>
  <si>
    <t>RIVQUICK_Standardblindniet_4_WS_5-6,5_22132140100</t>
  </si>
  <si>
    <t>999_000_359</t>
  </si>
  <si>
    <t>Blintniet</t>
  </si>
  <si>
    <t>Böllhoff | RIVQUICK® Standardblindniete 4 | 10 | 5,00 – 6,50 | 500 | B2B eShop (boellhoff.de)</t>
  </si>
  <si>
    <t>Blintnietmutter</t>
  </si>
  <si>
    <t>094875 6</t>
  </si>
  <si>
    <t>https://eshop.wuerth.de/Einnietmutter-Flachrundkopf-MU-NT-CHLPR-08-47-127X211-M6/094875%206.sku/de/DE/EUR/?CampaignName=CS008befestigt</t>
  </si>
  <si>
    <t>ZYLSCHRAUBE_M6_30_10.9_DIN_912_912109VZ630</t>
  </si>
  <si>
    <t>912109VZ630</t>
  </si>
  <si>
    <t>https://eshop.boellhoff.de/Schrauben/Schrauben-mit-Innenkraftangriff/Zylinderschrauben/Zylinderschrauben-/-22.html?anid=1_660339459</t>
  </si>
  <si>
    <t>999_000_362</t>
  </si>
  <si>
    <t>9128.8VZ430</t>
  </si>
  <si>
    <t xml:space="preserve">https://eshop.boellhoff.de/Schrauben/Schrauben-mit-Innenkraftangriff/Zylinderschrauben/Zylinderschrauben-/-7.html?anid=1_12040870 </t>
  </si>
  <si>
    <t>ZYLINDERSCHRAUBE_DIN912_M4X45_9128.8VZ445</t>
  </si>
  <si>
    <t>999_000_363</t>
  </si>
  <si>
    <t>9128.8VZ445</t>
  </si>
  <si>
    <t>https://eshop.boellhoff.de/Schrauben/Schrauben-mit-Innenkraftangriff/Zylinderschrauben/Zylinderschrauben-M4-30-500-/.html?uid=9776904fee52d3326c8f1438fca6b2cf&amp;site=1&amp;userInput=9128.8VZ430&amp;ignoreForCache%5B%5D=userInput&amp;queryFromSuggest=true&amp;ignoreForCache%5B%5D=queryFromSuggest&amp;anid=1_12041098</t>
  </si>
  <si>
    <t>999_000_364</t>
  </si>
  <si>
    <t>9128.8VZ450</t>
  </si>
  <si>
    <t>https://eshop.boellhoff.de/Schrauben/Schrauben-mit-Innenkraftangriff/Zylinderschrauben/Zylinderschrauben-M4-30-500-/.html?uid=9776904fee52d3326c8f1438fca6b2cf&amp;site=1&amp;userInput=9128.8VZ430&amp;ignoreForCache%5B%5D=userInput&amp;queryFromSuggest=true&amp;ignoreForCache%5B%5D=queryFromSuggest&amp;anid=1_12041240</t>
  </si>
  <si>
    <t>999_000_365</t>
  </si>
  <si>
    <t>Gummischeibe</t>
  </si>
  <si>
    <t xml:space="preserve"> 042236520</t>
  </si>
  <si>
    <t>https://eshop.wuerth.de/Gummischeibe-Pak-frei-SBR-NR-70-70-7-Shore-A-SHB-GUMMI-PAKF-65X20X3/042236520.sku/de/DE/EUR/?CampaignName=SR007</t>
  </si>
  <si>
    <t>WN 274</t>
  </si>
  <si>
    <t>Sperrzahnschraube Sechskantkopf mit Flansch W-0274, Stahl 8.8 verzinkt blau passiviert (A2K) (027401045) online kaufen | WÜRTH (wuerth.de)</t>
  </si>
  <si>
    <t>ZYLINDERSCHRAUBE_ISO 4762 M4x16_Stahl 8.8 Zink-Nickel schwarz_Wuerth_414964 16</t>
  </si>
  <si>
    <t>999_000_367</t>
  </si>
  <si>
    <t>Zink-Nickel schwarz (ZNBHL)</t>
  </si>
  <si>
    <t>414964 16</t>
  </si>
  <si>
    <t>https://eshop.wuerth.de/Zylinderschraube-mit-Innensechskant-ISO-4762Stahl-FK88-Zink-Nickel-schwarz-ZNBHL-SHR-ZYL-ISO4762-88-ZNBHL-M4X16/414964%2016.sku/de/DE/EUR/?SelectedFilterAttribut=%255B%257B%2522name%2522%253A%2522AT_ThreadTypeXNominalDiameter%2522%252C%2522value%2522%253A%255B%2522M4%2522%255D%252C%2522title%2522%253A%2522Gewindeart%2520x%2520Nenndurchmesser%2522%257D%252C%257B%2522name%2522%253A%2522AT_Length%2522%252C%2522value%2522%253A%255B%252216%2520mm%2522%255D%252C%2522title%2522%253A%2522L%25C3%25A4nge%2522%257D%252C%257B%2522name%2522%253A%2522AT_HeightOfHead%2522%252C%2522value%2522%253A%255B%25224%2520mm%2522%255D%252C%2522title%2522%253A%2522Kopfh%25C3%25B6he%2522%257D%252C%257B%2522name%2522%253A%2522AT_Norms%2522%252C%2522value%2522%253A%255B%2522ISO%25204762%2522%255D%252C%2522title%2522%253A%2522Normen%2522%257D%252C%257B%2522name%2522%253A%2522AT_MaterialType%2522%252C%2522value%2522%253A%255B%2522Stahl%2522%255D%252C%2522title%2522%253A%2522Werkstoff%2522%257D%252C%257B%2522name%2522%253A%2522AT_PropertyClass%2522%252C%2522value%2522%253A%255B%25228.8%2522%255D%252C%2522title%2522%253A%2522Festigkeitsklasse%2522%257D%255D</t>
  </si>
  <si>
    <t>999_000_368</t>
  </si>
  <si>
    <t>verzinkz</t>
  </si>
  <si>
    <t>414954 20</t>
  </si>
  <si>
    <t>https://eshop.wuerth.de/Zylinderschraube-mit-Innensechskant-ISO-4762-DIN-912-Stahl-88-verzinkt-blau-passiviert-A2K-SHR-ZYL-ISO4762-88-IS3-A2K-M4X20/00844%20%2020.sku/de/DE/EUR/?SelectedFilterAttribut=%255B%257B%2522name%2522%253A%2522AT_ThreadTypeXNominalDiameter%2522%252C%2522value%2522%253A%255B%2522M4%2522%255D%252C%2522title%2522%253A%2522Gewindeart%2520x%2520Nenndurchmesser%2522%257D%252C%257B%2522name%2522%253A%2522AT_Length%2522%252C%2522value%2522%253A%255B%252220%2520mm%2522%255D%252C%2522title%2522%253A%2522L%25C3%25A4nge%2522%257D%252C%257B%2522name%2522%253A%2522AT_HeightOfHead%2522%252C%2522value%2522%253A%255B%25224%2520mm%2522%255D%252C%2522title%2522%253A%2522Kopfh%25C3%25B6he%2522%257D%252C%257B%2522name%2522%253A%2522AT_Norms%2522%252C%2522value%2522%253A%255B%2522ISO%25204762%2522%255D%252C%2522title%2522%253A%2522Normen%2522%257D%252C%257B%2522name%2522%253A%2522AT_MaterialType%2522%252C%2522value%2522%253A%255B%2522Stahl%2522%255D%252C%2522title%2522%253A%2522Werkstoff%2522%257D%252C%257B%2522name%2522%253A%2522AT_PropertyClass%2522%252C%2522value%2522%253A%255B%25228.8%2522%255D%252C%2522title%2522%253A%2522Festigkeitsklasse%2522%257D%255D</t>
  </si>
  <si>
    <t>9338.8VZ645</t>
  </si>
  <si>
    <t>https://eshop.boellhoff.de/Schrauben/Schrauben-mit-Aussenkraftangriff/Sechskantschrauben/Sechskantschrauben-M6-45-200.html?uid=a71b1ef0d7ebff3e5c6758e2f83e5029&amp;site=1&amp;userInput=9338.8VZ645&amp;ignoreForCache[]=userInput&amp;queryFromSuggest=true&amp;ignoreForCache[]=queryFromSuggest</t>
  </si>
  <si>
    <t>999_000_370</t>
  </si>
  <si>
    <t>Distanzscheibe</t>
  </si>
  <si>
    <t>emico</t>
  </si>
  <si>
    <t>05-28-6,4-5S</t>
  </si>
  <si>
    <t>https://www.emico.com/de-DE/emico/verbindungs-und-befestigungselemente/scheiben-huelsen-ohne-gewinde/distanzhuelsen-28x64x5-pa-schwarz-05-28-64-5s</t>
  </si>
  <si>
    <t>https://eshop.boellhoff.de/Scheiben/Unterlegscheiben/Karosseriescheiben/Karosseriescheiben-8-4-200-/-2.html?</t>
  </si>
  <si>
    <t>9338.8VZ690</t>
  </si>
  <si>
    <t>https://eshop.boellhoff.de/Schrauben/Schrauben-mit-Aussenkraftangriff/Sechskantschrauben/Sechskantschrauben.html?listtype=search&amp;searchparam=DIN+933&amp;anid=1_13035175</t>
  </si>
  <si>
    <t>9338.8VZ670</t>
  </si>
  <si>
    <t>999_000_374</t>
  </si>
  <si>
    <t>DIN 985</t>
  </si>
  <si>
    <t>https://eshop.boellhoff.de/Muttern/Muttern-mit-Sicherungsfunktion/Sechskantmuttern/Sechskantmuttern-/-12.html?listtype=search&amp;searchparam=din+985&amp;anid=1_16344570</t>
  </si>
  <si>
    <t>999_000_375</t>
  </si>
  <si>
    <t>9128.8VZ616</t>
  </si>
  <si>
    <t>https://eshop.boellhoff.de/Schrauben/Schrauben-mit-Innenkraftangriff/Zylinderschrauben/Zylinderschrauben-/-7.html?listtype=search&amp;searchparam=din+912&amp;anid=1_12044981</t>
  </si>
  <si>
    <t>999_000_376</t>
  </si>
  <si>
    <t>https://eshop.boellhoff.de/Muttern/Muttern-mit-Sicherungsfunktion/Sechskantmuttern/Sechskantmuttern-/-12.html?listtype=search&amp;searchparam=din+985&amp;anid=1_16344681</t>
  </si>
  <si>
    <t>999_000_377</t>
  </si>
  <si>
    <t>9128.8VZ1030</t>
  </si>
  <si>
    <t>999_000_378</t>
  </si>
  <si>
    <t>985810</t>
  </si>
  <si>
    <t>471FST19</t>
  </si>
  <si>
    <t>Passfeder</t>
  </si>
  <si>
    <t>DIN 6885</t>
  </si>
  <si>
    <t>999_000_381</t>
  </si>
  <si>
    <t>würth</t>
  </si>
  <si>
    <t>411886 35</t>
  </si>
  <si>
    <t>https://eshop.wuerth.de/Zylinderkopfschraube-mit-Innensechskant-und-Ansatzschaft-ISO-7379-Stahl-0129-blank-Toleranz-f9-SHR-ZYL-ISO7379-0129-F9-DS8-M6X35/411886%2035.sku/de/DE/EUR/</t>
  </si>
  <si>
    <t>999_000_382</t>
  </si>
  <si>
    <t>Scheiben für Schrauben mit schweren Spannhülsen</t>
  </si>
  <si>
    <t>DIN 7349</t>
  </si>
  <si>
    <t>7349VZ8,4</t>
  </si>
  <si>
    <t>https://eshop.boellhoff.de/Scheiben/Unterlegscheiben/Scheiben/Scheiben-fuer-Schrauben-mit-schweren-Spannhuelsen-8-4-500.html?uid=a71b1ef0d7ebff3e5c6758e2f83e5029&amp;site=1&amp;userInput=7349VZ8%2C4&amp;ignoreForCache[]=userInput&amp;queryFromSuggest=true&amp;ignoreForCache[]=queryFromSuggest</t>
  </si>
  <si>
    <t>999_000_383</t>
  </si>
  <si>
    <t>Senkkopf</t>
  </si>
  <si>
    <t>Gesipa</t>
  </si>
  <si>
    <t>https://www.gesipa.de/produkte/standard-blindnietmuttern/1455367-blindnietmuttern-stahl-geraendelt-senkkopf-m-5-x-7-x-135/</t>
  </si>
  <si>
    <t>SENKSCHRAUBE_M4X6_DIN_7991</t>
  </si>
  <si>
    <t>999_000_384</t>
  </si>
  <si>
    <t>00874 6</t>
  </si>
  <si>
    <t xml:space="preserve">https://eshop.wuerth.de/Senkschraube-mit-Innensechskant-ISO-10642-Stahl-088-verzinkt-blau-passiviert-A2K-SHR-ISO10642-088-IS25-A2K-M4X6/00874%20%206.sku/de/DE/EUR/?CampaignName=SR007 </t>
  </si>
  <si>
    <t>999_000_385</t>
  </si>
  <si>
    <t>933109VZ635</t>
  </si>
  <si>
    <t>https://eshop.boellhoff.de/Schrauben/Schrauben-mit-Aussenkraftangriff/Sechskantschrauben/Sechskantschrauben-/-5.html?listtype=search&amp;searchparam=din+933&amp;anid=1_661000050</t>
  </si>
  <si>
    <t>999_000_386</t>
  </si>
  <si>
    <t xml:space="preserve">https://eshop.boellhoff.de/Muttern/Muttern-mit-Sicherungsfunktion/Sechskantmuttern/Sechskantmuttern-/-12.html?listtype=search&amp;searchparam=985&amp;anid=1_16344756 </t>
  </si>
  <si>
    <t>999_000_387</t>
  </si>
  <si>
    <t xml:space="preserve">https://eshop.wuerth.de/Einnietmutter-mit-Senkkopf-und-Schaftraendelung-MU-NT-SEKPF-A2K-15-40-109X185-M8/094832008.sku/de/DE/EUR/ </t>
  </si>
  <si>
    <t>https://eshop.wuerth.de/Sperrzahnschraube-Sechskantkopf-mit-Flansch-W-0274-Stahl-88-verzinkt-blau-passiviert-A2K-SHR-6KT-FLSH-UKV-88-SW15-A2K-M10X50/027401050.sku/de/DE/EUR/</t>
  </si>
  <si>
    <t>Sechskantschraube mit Flansch</t>
  </si>
  <si>
    <t>DIN 6921 / EN1665</t>
  </si>
  <si>
    <t>416308 65</t>
  </si>
  <si>
    <t>https://eshop.wuerth.de/Hexagonal-bolt-with-flange-SCR-HEX-FLG-EN1665-109-ZSML-M8X65/416308%2065.sku/en/US/EUR/</t>
  </si>
  <si>
    <t>999_000_390</t>
  </si>
  <si>
    <t>Sechskantmutter mit Flansch</t>
  </si>
  <si>
    <t>DIN 6926</t>
  </si>
  <si>
    <t>69268VZ8</t>
  </si>
  <si>
    <t>Böllhoff | Sechskantmuttern M8 | 500 | B2B eShop (boellhoff.de)</t>
  </si>
  <si>
    <t>999_000_391</t>
  </si>
  <si>
    <t>69218.8VZ830</t>
  </si>
  <si>
    <t>Böllhoff | Sechskantschrauben M8 | 30 | 200 | B2B eShop (boellhoff.de)</t>
  </si>
  <si>
    <t>999_000_392</t>
  </si>
  <si>
    <t>DIN 6921 Sechskantschrauben mit Flansch online kaufen (frantos.com)</t>
  </si>
  <si>
    <t>Kunststoffscheibe</t>
  </si>
  <si>
    <t>Polyamid Schwarz</t>
  </si>
  <si>
    <t>DIN 9021 Unterlegscheiben mit großem Außendurchmesser kaufen (frantos.com)</t>
  </si>
  <si>
    <t>999_000_394</t>
  </si>
  <si>
    <t>Schlossschraube</t>
  </si>
  <si>
    <t>DIN 603</t>
  </si>
  <si>
    <t>6038.8VZ840</t>
  </si>
  <si>
    <t>Böllhoff | Flachrundschrauben M8 | 40 | 200 | B2B eShop (boellhoff.de)</t>
  </si>
  <si>
    <t>999_000_395</t>
  </si>
  <si>
    <t>999_000_396</t>
  </si>
  <si>
    <t>A2</t>
  </si>
  <si>
    <t>A2 Schwarz</t>
  </si>
  <si>
    <t>Frantos</t>
  </si>
  <si>
    <t>ISO 7380-2 Linsenkopfschrauben mit Bund online kaufen (frantos.com)</t>
  </si>
  <si>
    <t>999_000_397</t>
  </si>
  <si>
    <t>912A2430</t>
  </si>
  <si>
    <t>Böllhoff | Zylinderschrauben M4 | 30 | 500 | B2B eShop (boellhoff.de)</t>
  </si>
  <si>
    <t>69218.8VZ620</t>
  </si>
  <si>
    <t>Böllhoff | Sechskantschrauben M6 | 20 | 500 | B2B eShop (boellhoff.de)</t>
  </si>
  <si>
    <t>M3</t>
  </si>
  <si>
    <t>Polyamid schwarz</t>
  </si>
  <si>
    <t>DIN 125 A Unterlegscheiben ohne Fase online kaufen (frantos.com)</t>
  </si>
  <si>
    <t>Schraube für Kunsstoff</t>
  </si>
  <si>
    <t>E 5451</t>
  </si>
  <si>
    <t>E5451VZ306</t>
  </si>
  <si>
    <t>https://eshop.boellhoff.de/en/Screws/Screws-with-internal-force-application/Plastic-screws/EJOT-Delta-PT-screws-for-thermoplastic-materials.html?listtype=search&amp;searchparam=5451&amp;anid=1_12463222</t>
  </si>
  <si>
    <t>69268VZ6</t>
  </si>
  <si>
    <t>Böllhoff | Sechskantmuttern M6 | 1000 | B2B eShop (boellhoff.de)</t>
  </si>
  <si>
    <t>Scheibe für Spannzeuge</t>
  </si>
  <si>
    <t>DIN 6340</t>
  </si>
  <si>
    <t>6340VZ6,4</t>
  </si>
  <si>
    <t>Böllhoff | Scheiben für Spannzeug 6,4 | 500 | B2B eShop (boellhoff.de)</t>
  </si>
  <si>
    <t>https://eshop.boellhoff.de/Muttern/Muttern-mit-Sicherungsfunktion/Sechskantmuttern/Sechskantmuttern-/-12.html?listtype=search&amp;searchparam=985&amp;anid=1_16344633</t>
  </si>
  <si>
    <t>79918.8VZ830</t>
  </si>
  <si>
    <t>Böllhoff | Senkschrauben M8 | 30 | 200 | B2B eShop (boellhoff.de)</t>
  </si>
  <si>
    <t>TYP TS</t>
  </si>
  <si>
    <t>https://www.rampa.com/eu/de/RAMPA-EINSCHLAGMUTTERN-TYP-TS/021612001010</t>
  </si>
  <si>
    <t>Schelle</t>
  </si>
  <si>
    <t>Schwere Rohrschelle</t>
  </si>
  <si>
    <t>DIN 1593</t>
  </si>
  <si>
    <t>Schellen Shop</t>
  </si>
  <si>
    <t>2000000166570</t>
  </si>
  <si>
    <t>https://www.schellen-shop.de/Hersteller/NORMA/NORMAFIX/schwere-rohrschelle-nach-din-1593-number=2000000166570</t>
  </si>
  <si>
    <t>SECHSKANTMUTTER MU-STOP-DIN985-I10I-SW10-(A2K)-M6</t>
  </si>
  <si>
    <t>Sechskantmutter niedrige form selbstsichernd</t>
  </si>
  <si>
    <t>https://eshop.wuerth.de/Sechskantmutter-niedrige-Form-mit-Klemmteil-nichtmetallischer-Einsatz-DIN-985-Stahl-I10I-verzinkt-blau-passiviert-A2K-MU-STOP-DIN985-I10I-SW10-A2K-M6/037006.sku/de/DE/EUR/</t>
  </si>
  <si>
    <t>SECHSKANTSCHRAUBE_M8x240_ISO_4014_10.9</t>
  </si>
  <si>
    <t>verzinkt wenn möglich</t>
  </si>
  <si>
    <t xml:space="preserve">Sechskantmutter mit Flansch DIN 6926 / EN 1663Polyamid-Klemmteil, Stahl 8 verzinkt, M 12 </t>
  </si>
  <si>
    <t>8.8/10.9</t>
  </si>
  <si>
    <t>DIN 6926 - EN 1663 Sechskantmutter mit Flansch online kaufen</t>
  </si>
  <si>
    <t>https://www.frantos.com/de/muttern/selbstsichernde-muttern/din-6926-en-1663-sechskantmutter-mit-flansch/matrix/722-1-stahl-8-verzinkt?product=157884</t>
  </si>
  <si>
    <t>RIVKLE_STANDARD_KLEINER_SENKKOPF_M8_WS_0,5-3,0_34367080230</t>
  </si>
  <si>
    <t>999_000_412</t>
  </si>
  <si>
    <t>NEU V4.0</t>
  </si>
  <si>
    <t>kleiner Senkkopf</t>
  </si>
  <si>
    <t>https://eshop.boellhoff.de/Niettechnik/RIVKLE-Blindnietmuttern/RIVKLE-Standard/RIVKLE-Standard-Blindnietmuttern-/-7.html?listtype=search&amp;searchparam=34367080230&amp;anid=1_625292847</t>
  </si>
  <si>
    <t>SECHSKANTSCHRAUBE_M8x16_DIN_933_9338.8VZ816</t>
  </si>
  <si>
    <t>999_000_413</t>
  </si>
  <si>
    <t>9338.8VZ816</t>
  </si>
  <si>
    <t>https://eshop.boellhoff.de/Schrauben/Schrauben-mit-Aussenkraftangriff/Sechskantschrauben/Sechskantschrauben.html?listtype=search&amp;searchparam=933&amp;anid=1_13035896</t>
  </si>
  <si>
    <t>SECHSKANTMUTTER_M8_DIN_934_934A28</t>
  </si>
  <si>
    <t>999_000_414</t>
  </si>
  <si>
    <t>934A28</t>
  </si>
  <si>
    <t>https://eshop.boellhoff.de/Muttern/Muttern-ohne-Sicherungsfunktion/Sechskantmuttern/Sechskantmuttern.html?listtype=search&amp;searchparam=934&amp;anid=1_16222763</t>
  </si>
  <si>
    <t>SECHSKANTMUTTER_M8_DIN_934_LINKS_101080801</t>
  </si>
  <si>
    <t>999_000_415</t>
  </si>
  <si>
    <t>Sechskantmutter Linksgewinde</t>
  </si>
  <si>
    <t>https://www.frantos.com/de/muttern/sechskantmuttern/din-934-sechskantmuttern/matrix/754-69-metrisches-normalgewinde-linksgewinde-ohne-flansch-ohne-sperrverzahnung-edelstahl-a2?product=54908</t>
  </si>
  <si>
    <t>RIVKLE_STANDARD_KLEINER_SENKKOPF_M5_WS_0,5-3,0_34367050230</t>
  </si>
  <si>
    <t>999_000_416</t>
  </si>
  <si>
    <t>https://eshop.boellhoff.de/Niettechnik/RIVKLE-Blindnietmuttern/RIVKLE-Standard/RIVKLE-Standard-Blindnietmuttern-/-7.html?listtype=search&amp;searchparam=34367080230&amp;anid=1_625292819</t>
  </si>
  <si>
    <t>HALBRUNDKOPFSCHRAUBE_M6x40_ISO_7380-2_A2_BLK</t>
  </si>
  <si>
    <t>999_000_417</t>
  </si>
  <si>
    <t>https://www.frantos.com/de/schrauben/linsenkopfschrauben/iso-7380-2-linsenkopfschrauben-mit-bund-und-innensechskant/matrix/659-4-isk-mit-flansch-edelstahl-a2?product=33516</t>
  </si>
  <si>
    <t>RIVKLE_STANDARD_FLACHKOPF_M5_WS_0,5-3,0_23307050230</t>
  </si>
  <si>
    <t>999_000_418</t>
  </si>
  <si>
    <t>Flachkopf</t>
  </si>
  <si>
    <t>https://eshop.boellhoff.de/Niettechnik/RIVKLE-Blindnietmuttern/RIVKLE-Standard/RIVKLE-Standard-Blindnietmuttern-/-9.html?anid=1_625293035</t>
  </si>
  <si>
    <t>Multiplikationsfaktor Ersatzteilbedarf</t>
  </si>
  <si>
    <t>Anzugsmoment / Anzugsdrehmoment Tabelle für Regelgewinde</t>
  </si>
  <si>
    <t>A teil -  Werkzeuglastige Auftragsfertigung nach Zeichnung  / Lieferantenwechsel Schwierig</t>
  </si>
  <si>
    <t>B teil -  Nicht-Werkzeuglastige Auftragsfertigung nach Zeichnung / Liefrantenwechsel möglich</t>
  </si>
  <si>
    <t>Gewindegroesse</t>
  </si>
  <si>
    <t>Drehmoment in (Nm)</t>
  </si>
  <si>
    <t>Berechnungsstand</t>
  </si>
  <si>
    <t>S235JRH</t>
  </si>
  <si>
    <t>C teil -  Kritische Kaufteile / nur bei wenigen Lieferanten vorhanden / ggfs. Lieferengpass / Verhandlung kaum realisierbar</t>
  </si>
  <si>
    <t>4.6</t>
  </si>
  <si>
    <t>5.6</t>
  </si>
  <si>
    <t>6.8</t>
  </si>
  <si>
    <t>D teil -  Unkritische Kaufteile / bei mehreren Lieferanten vorhanden / kein lieferengpass / Verhandlung möglich</t>
  </si>
  <si>
    <t> M2</t>
  </si>
  <si>
    <t>S355JOH</t>
  </si>
  <si>
    <t>E teil -  Norm teile - üppig verügbar</t>
  </si>
  <si>
    <t>M2,5</t>
  </si>
  <si>
    <t>Lackiert - Schichtdicke 100 ±20 μm - Weißaluminium, RAL 9006 (seidenmatt)</t>
  </si>
  <si>
    <t>Anbauteile Kategorie 1</t>
  </si>
  <si>
    <t>E295/1.0050</t>
  </si>
  <si>
    <t xml:space="preserve">ZE + KTL - Schichtdicke 25 ±5 μm </t>
  </si>
  <si>
    <t>Der Buschstabe A-D ist unter anderem Teil des Bauteilnamens im CAD.</t>
  </si>
  <si>
    <t>1.4301</t>
  </si>
  <si>
    <t>Harteloxiert - Schichtdicke 25 ±5 μm - Weißaluminium, RAL 9006 (seidenmatt)</t>
  </si>
  <si>
    <t>Anbauteile Kategorie 3</t>
  </si>
  <si>
    <t>1.4310</t>
  </si>
  <si>
    <t>Pulverbeschichtet - Schichtdicke 90 ±30 μm - Graphitschwarz, RAL 9011 (seidenmatt)</t>
  </si>
  <si>
    <t>Pulverbeschichtet - Schichtdicke 90 ±30 μm - Weißaluminium, RAL 9006 (seidenmatt)</t>
  </si>
  <si>
    <t>M7</t>
  </si>
  <si>
    <t>ZE - elektrolytisch verzinkt</t>
  </si>
  <si>
    <t> 18,70</t>
  </si>
  <si>
    <t>X5CrNi18-10</t>
  </si>
  <si>
    <t>Faserverbundteil</t>
  </si>
  <si>
    <t>X8CrNiS18-9</t>
  </si>
  <si>
    <t>EN AW - AlZnMgCu1,5 - T6</t>
  </si>
  <si>
    <t>Z - Feuerverzinkt</t>
  </si>
  <si>
    <t>M14</t>
  </si>
  <si>
    <t> 104</t>
  </si>
  <si>
    <t>Brüniert</t>
  </si>
  <si>
    <t> 161</t>
  </si>
  <si>
    <t>EN AW - 5083 - T6</t>
  </si>
  <si>
    <t>M18</t>
  </si>
  <si>
    <t> 112</t>
  </si>
  <si>
    <t> 222</t>
  </si>
  <si>
    <t>M20</t>
  </si>
  <si>
    <t> 157</t>
  </si>
  <si>
    <t> 315</t>
  </si>
  <si>
    <t>EN AW - 2007</t>
  </si>
  <si>
    <t>Pulverbeschichtet - Schichtdicke 150 ±30 μm - Schwarz, SEIDENMATT/20±5%/60DEG</t>
  </si>
  <si>
    <t>M22</t>
  </si>
  <si>
    <t> 215</t>
  </si>
  <si>
    <t> 430</t>
  </si>
  <si>
    <t>M24</t>
  </si>
  <si>
    <t> 272</t>
  </si>
  <si>
    <t> 544</t>
  </si>
  <si>
    <t>Profil</t>
  </si>
  <si>
    <t>M27</t>
  </si>
  <si>
    <t> 400</t>
  </si>
  <si>
    <t> 800</t>
  </si>
  <si>
    <t>M30</t>
  </si>
  <si>
    <t> 542</t>
  </si>
  <si>
    <t>EN AW - AlMgSi1</t>
  </si>
  <si>
    <t>M33</t>
  </si>
  <si>
    <t> 739</t>
  </si>
  <si>
    <t>EN AW - AlMgSiPb - T6</t>
  </si>
  <si>
    <t>M36</t>
  </si>
  <si>
    <t> 948</t>
  </si>
  <si>
    <t> 1185</t>
  </si>
  <si>
    <t>EN AW - AlMgSi0,5 - T6</t>
  </si>
  <si>
    <t>M39</t>
  </si>
  <si>
    <t> 1536</t>
  </si>
  <si>
    <t>M42</t>
  </si>
  <si>
    <t> 1899</t>
  </si>
  <si>
    <t>M45</t>
  </si>
  <si>
    <t> 2373</t>
  </si>
  <si>
    <t>EN AC - 42000 - T6</t>
  </si>
  <si>
    <t>M48</t>
  </si>
  <si>
    <t> 2853</t>
  </si>
  <si>
    <t>M52</t>
  </si>
  <si>
    <t> 3692</t>
  </si>
  <si>
    <t>PMMA (Polymethylmethacrylat)</t>
  </si>
  <si>
    <t>M56</t>
  </si>
  <si>
    <t> 4591</t>
  </si>
  <si>
    <t>ABS/PMMA</t>
  </si>
  <si>
    <t>M60</t>
  </si>
  <si>
    <t> 5728</t>
  </si>
  <si>
    <t>ABS/PMMA - Graphitschwarz, RAL 9011 (seidenmatt)</t>
  </si>
  <si>
    <t>M64</t>
  </si>
  <si>
    <t> 6920</t>
  </si>
  <si>
    <t>ABS/PMMA - Weißaluminium, RAL 9006 (seidenmatt)</t>
  </si>
  <si>
    <t>M68</t>
  </si>
  <si>
    <t> 8400</t>
  </si>
  <si>
    <t> 30239</t>
  </si>
  <si>
    <t>PA6 - Schwarz</t>
  </si>
  <si>
    <t>TPE</t>
  </si>
  <si>
    <t>GFRP</t>
  </si>
  <si>
    <t>Silikon Flexcomp</t>
  </si>
  <si>
    <t>POM</t>
  </si>
  <si>
    <t>Textil</t>
  </si>
  <si>
    <t>Alu 5754</t>
  </si>
  <si>
    <t>CSI</t>
  </si>
  <si>
    <t>Beispiel: 002_003_001_04_M01_999_999_LTR____________________________YYMMDD_CSI</t>
  </si>
  <si>
    <t>Export</t>
  </si>
  <si>
    <t>Name</t>
  </si>
  <si>
    <t>Eingabe</t>
  </si>
  <si>
    <t>Zeichen</t>
  </si>
  <si>
    <t>002</t>
  </si>
  <si>
    <t>003</t>
  </si>
  <si>
    <t>001</t>
  </si>
  <si>
    <t>M01</t>
  </si>
  <si>
    <t>999</t>
  </si>
  <si>
    <t>___</t>
  </si>
  <si>
    <t>YYMMDD</t>
  </si>
  <si>
    <t>00200690500</t>
  </si>
  <si>
    <t>ZSB_MOTORAUFNAHME</t>
  </si>
  <si>
    <t>3 Zeichen Kürzel für Ersteller</t>
  </si>
  <si>
    <t>00200800101</t>
  </si>
  <si>
    <t>BEISPIEL</t>
  </si>
  <si>
    <t>00200300101</t>
  </si>
  <si>
    <t>Datum: Year Year Month Month Day Day; Beispiel 240513</t>
  </si>
  <si>
    <t>11122233344</t>
  </si>
  <si>
    <t>test</t>
  </si>
  <si>
    <t>Trennzeichen: "_" Bauteilnummer immer 68 Zeichen lang</t>
  </si>
  <si>
    <t>Beschreibung/Bezeichnung</t>
  </si>
  <si>
    <t>Platzhalter</t>
  </si>
  <si>
    <t>z.b. Kennzeichnung von alternativen Lagen, Versionen etc,</t>
  </si>
  <si>
    <t>Kennzeichnung Datenstand</t>
  </si>
  <si>
    <t xml:space="preserve">"M01"= 3D-Data; "DRW"= 2D, Drawing, DXF etc. </t>
  </si>
  <si>
    <t>Revision</t>
  </si>
  <si>
    <t>Mubea 3F-Regel beachten: Form, Fit &amp; Funkction</t>
  </si>
  <si>
    <t>Wird eines der "3F" beeinflusst muss revisioniert und eine neue Materialnummer vergeben werden</t>
  </si>
  <si>
    <t>Laufende Nummer</t>
  </si>
  <si>
    <t>ungerade Zahl = linkes Teil, gerade Zahl = rechtes Teil</t>
  </si>
  <si>
    <t>Wenn nur ein Teil == Links</t>
  </si>
  <si>
    <t>Füge- oder Schweißgruppen starten immer bei 900</t>
  </si>
  <si>
    <t>siehe Stückliste; 003 = Bereich Trägermodul, 008 = Bereich Fahrwerk etc.</t>
  </si>
  <si>
    <t>Fahrzeugmodell/Reifegrad</t>
  </si>
  <si>
    <t>000 = Pilotserie</t>
  </si>
  <si>
    <t>001 = V2.0</t>
  </si>
  <si>
    <t>002 = V3.0</t>
  </si>
  <si>
    <t>004 = V4.0 Starrachse</t>
  </si>
  <si>
    <t>Sonderlösung</t>
  </si>
  <si>
    <t>999_xxx_xxx</t>
  </si>
  <si>
    <t xml:space="preserve">Dienstlseistungen </t>
  </si>
  <si>
    <t>888_xxx_xxx</t>
  </si>
  <si>
    <t>Zusammenbau</t>
  </si>
  <si>
    <t>002_005_105_01_M01_999_999_SPACER_AH_1____________________251201_CSI</t>
  </si>
  <si>
    <t>EN AW 5754 H111 oder ähnliche</t>
  </si>
  <si>
    <t>Aluminium 6082</t>
  </si>
  <si>
    <t>Steel 1.4301</t>
  </si>
  <si>
    <t>Stahl V2A 1.4301</t>
  </si>
  <si>
    <t>Magnesium AZ91</t>
  </si>
  <si>
    <t>PC/ABS</t>
  </si>
  <si>
    <t>Pulverbeschichtet - Schichtdicke 90 ±30 μm // RAL 9005 - SEIDENMATT/20±5%/60DEG</t>
  </si>
  <si>
    <t>tauchbeschichtet</t>
  </si>
  <si>
    <t>lackierte Oberfläche</t>
  </si>
  <si>
    <t>2700kg_m3</t>
  </si>
  <si>
    <t>1810kg_m3</t>
  </si>
  <si>
    <t>1130kg_m3</t>
  </si>
  <si>
    <t>12mm</t>
  </si>
  <si>
    <t>2.5mm</t>
  </si>
  <si>
    <t>111_222_333_00_M01_999_999_ALU_PROFIL_____________________YYMMDD_CSI</t>
  </si>
  <si>
    <t>111_222_333_00_M01_999_999_BLECH__________________________YYMMDD_CSI</t>
  </si>
  <si>
    <t>111_222_333_00_M01_999_999_DREHTEIL_______________________YYMMDD_CSI</t>
  </si>
  <si>
    <t>111_222_333_00_M01_999_999_GUSSTEIL_______________________YYMMDD_CSI</t>
  </si>
  <si>
    <t>111_222_333_00_M01_999_999_KUNSTSTOFF_____________________YYMMDD_CSI</t>
  </si>
  <si>
    <t>111_222_333_00_M01_999_999_STAHL_PROFIL___________________YYMMDD_CSI</t>
  </si>
  <si>
    <t>111_222_333_00_M01_999_999_TESTPRODUCT_________________YYMMDD_CSI</t>
  </si>
  <si>
    <t>Bauteilbenennung CAD</t>
  </si>
  <si>
    <t>Bauteilbenennung</t>
  </si>
  <si>
    <t>002_005_105_01</t>
  </si>
  <si>
    <t>111_222_333_00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</si>
</sst>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0.000"/>
  </numFmts>
  <fonts count="43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444444"/>
      <name val="Calibri"/>
      <family val="2"/>
      <charset val="1"/>
    </font>
    <font>
      <b/>
      <sz val="11"/>
      <color rgb="FF000000"/>
      <name val="Calibri"/>
      <family val="2"/>
    </font>
    <font>
      <sz val="8"/>
      <name val="Calibri"/>
      <family val="2"/>
      <charset val="1"/>
    </font>
    <font>
      <sz val="11"/>
      <color rgb="FFC0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theme="1"/>
      <name val="Calibri"/>
      <family val="2"/>
    </font>
    <font>
      <sz val="11"/>
      <color theme="1"/>
      <name val="Calibri"/>
      <family val="2"/>
      <charset val="1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  <scheme val="minor"/>
    </font>
    <font>
      <sz val="11"/>
      <color indexed="10"/>
      <name val="Calibri"/>
      <family val="2"/>
    </font>
    <font>
      <sz val="11"/>
      <color rgb="FF000000"/>
      <name val="Calibri"/>
      <family val="2"/>
      <charset val="1"/>
      <scheme val="minor"/>
    </font>
    <font>
      <strike/>
      <sz val="11"/>
      <color rgb="FF000000"/>
      <name val="Calibri"/>
      <family val="2"/>
    </font>
    <font>
      <strike/>
      <sz val="11"/>
      <color theme="1"/>
      <name val="Calibri"/>
      <family val="2"/>
    </font>
    <font>
      <sz val="10"/>
      <color rgb="FF000000"/>
      <name val="Arial"/>
      <family val="2"/>
    </font>
    <font>
      <b/>
      <u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i/>
      <sz val="11"/>
      <color theme="4"/>
      <name val="Calibri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9"/>
      <color rgb="FF000000"/>
      <name val="Segoe UI"/>
      <family val="2"/>
    </font>
    <font>
      <strike/>
      <sz val="11"/>
      <color rgb="FF000000"/>
      <name val="Calibri"/>
      <family val="2"/>
      <scheme val="minor"/>
    </font>
    <font>
      <sz val="11"/>
      <color rgb="FF444444"/>
      <name val="Calibri"/>
      <family val="2"/>
      <scheme val="minor"/>
    </font>
    <font>
      <sz val="11"/>
      <color rgb="FF131414"/>
      <name val="Calibri"/>
      <family val="2"/>
      <scheme val="minor"/>
    </font>
    <font>
      <sz val="13"/>
      <color rgb="FF000000"/>
      <name val="Wuerthbook"/>
    </font>
  </fonts>
  <fills count="36">
    <fill>
      <patternFill patternType="none"/>
    </fill>
    <fill>
      <patternFill patternType="gray125"/>
    </fill>
    <fill>
      <patternFill patternType="solid">
        <fgColor rgb="FFBFBFBF"/>
        <bgColor rgb="FFD0CECE"/>
      </patternFill>
    </fill>
    <fill>
      <patternFill patternType="solid">
        <fgColor rgb="FFF2F2F2"/>
        <bgColor rgb="FFEFF6EA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FF6EA"/>
      </patternFill>
    </fill>
    <fill>
      <patternFill patternType="solid">
        <fgColor rgb="FFFFFFFF"/>
        <bgColor rgb="FFF2F2F2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rgb="FFA8BCF6"/>
      </patternFill>
    </fill>
    <fill>
      <patternFill patternType="solid">
        <fgColor theme="4" tint="0.39997558519241921"/>
        <bgColor rgb="FFA8BCF6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rgb="FFA8BCF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A8BCF6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rgb="FFEFF6EA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FFFF"/>
        <bgColor rgb="FF000000"/>
      </patternFill>
    </fill>
  </fills>
  <borders count="5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444444"/>
      </left>
      <right style="medium">
        <color rgb="FF444444"/>
      </right>
      <top style="medium">
        <color rgb="FF444444"/>
      </top>
      <bottom style="medium">
        <color rgb="FF444444"/>
      </bottom>
      <diagonal/>
    </border>
    <border>
      <left style="medium">
        <color rgb="FF444444"/>
      </left>
      <right/>
      <top/>
      <bottom/>
      <diagonal/>
    </border>
    <border>
      <left style="medium">
        <color rgb="FF444444"/>
      </left>
      <right/>
      <top/>
      <bottom style="medium">
        <color rgb="FF444444"/>
      </bottom>
      <diagonal/>
    </border>
    <border>
      <left/>
      <right/>
      <top/>
      <bottom style="medium">
        <color rgb="FF444444"/>
      </bottom>
      <diagonal/>
    </border>
    <border>
      <left style="medium">
        <color rgb="FF444444"/>
      </left>
      <right/>
      <top style="thick">
        <color rgb="FF444444"/>
      </top>
      <bottom/>
      <diagonal/>
    </border>
    <border>
      <left/>
      <right/>
      <top style="thick">
        <color rgb="FF444444"/>
      </top>
      <bottom/>
      <diagonal/>
    </border>
    <border>
      <left/>
      <right style="thick">
        <color rgb="FF444444"/>
      </right>
      <top style="thick">
        <color rgb="FF444444"/>
      </top>
      <bottom/>
      <diagonal/>
    </border>
    <border>
      <left style="thick">
        <color rgb="FF444444"/>
      </left>
      <right/>
      <top/>
      <bottom/>
      <diagonal/>
    </border>
    <border>
      <left/>
      <right style="thick">
        <color rgb="FF444444"/>
      </right>
      <top/>
      <bottom/>
      <diagonal/>
    </border>
    <border>
      <left/>
      <right style="thick">
        <color rgb="FF444444"/>
      </right>
      <top/>
      <bottom style="medium">
        <color rgb="FF444444"/>
      </bottom>
      <diagonal/>
    </border>
    <border>
      <left style="thick">
        <color rgb="FF444444"/>
      </left>
      <right style="medium">
        <color rgb="FF444444"/>
      </right>
      <top style="medium">
        <color rgb="FF444444"/>
      </top>
      <bottom style="medium">
        <color rgb="FF444444"/>
      </bottom>
      <diagonal/>
    </border>
    <border>
      <left style="medium">
        <color rgb="FF444444"/>
      </left>
      <right style="thick">
        <color rgb="FF444444"/>
      </right>
      <top style="medium">
        <color rgb="FF444444"/>
      </top>
      <bottom style="medium">
        <color rgb="FF444444"/>
      </bottom>
      <diagonal/>
    </border>
    <border>
      <left style="thick">
        <color rgb="FF444444"/>
      </left>
      <right style="medium">
        <color rgb="FF444444"/>
      </right>
      <top style="medium">
        <color rgb="FF444444"/>
      </top>
      <bottom style="thick">
        <color rgb="FF444444"/>
      </bottom>
      <diagonal/>
    </border>
    <border>
      <left style="medium">
        <color rgb="FF444444"/>
      </left>
      <right style="medium">
        <color rgb="FF444444"/>
      </right>
      <top style="medium">
        <color rgb="FF444444"/>
      </top>
      <bottom style="thick">
        <color rgb="FF444444"/>
      </bottom>
      <diagonal/>
    </border>
    <border>
      <left style="medium">
        <color rgb="FF444444"/>
      </left>
      <right style="thick">
        <color rgb="FF444444"/>
      </right>
      <top style="medium">
        <color rgb="FF444444"/>
      </top>
      <bottom style="thick">
        <color rgb="FF444444"/>
      </bottom>
      <diagonal/>
    </border>
    <border>
      <left style="thick">
        <color rgb="FF444444"/>
      </left>
      <right style="medium">
        <color rgb="FF444444"/>
      </right>
      <top style="thick">
        <color rgb="FF444444"/>
      </top>
      <bottom/>
      <diagonal/>
    </border>
    <border>
      <left style="thick">
        <color rgb="FF444444"/>
      </left>
      <right style="medium">
        <color rgb="FF444444"/>
      </right>
      <top/>
      <bottom/>
      <diagonal/>
    </border>
    <border>
      <left style="thick">
        <color rgb="FF444444"/>
      </left>
      <right style="medium">
        <color rgb="FF444444"/>
      </right>
      <top style="thick">
        <color rgb="FF444444"/>
      </top>
      <bottom style="thick">
        <color rgb="FF444444"/>
      </bottom>
      <diagonal/>
    </border>
    <border>
      <left style="medium">
        <color rgb="FF444444"/>
      </left>
      <right style="medium">
        <color rgb="FF444444"/>
      </right>
      <top style="thick">
        <color rgb="FF444444"/>
      </top>
      <bottom style="thick">
        <color rgb="FF444444"/>
      </bottom>
      <diagonal/>
    </border>
    <border>
      <left style="medium">
        <color rgb="FF444444"/>
      </left>
      <right style="thick">
        <color rgb="FF444444"/>
      </right>
      <top style="thick">
        <color rgb="FF444444"/>
      </top>
      <bottom style="thick">
        <color rgb="FF44444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/>
    <xf numFmtId="0" fontId="13" fillId="0" borderId="0" applyNumberFormat="0" applyFill="0" applyBorder="0" applyAlignment="0" applyProtection="0"/>
    <xf numFmtId="0" fontId="7" fillId="0" borderId="0"/>
    <xf numFmtId="0" fontId="6" fillId="0" borderId="0"/>
    <xf numFmtId="44" fontId="6" fillId="0" borderId="0" applyFont="0" applyFill="0" applyBorder="0" applyAlignment="0" applyProtection="0"/>
    <xf numFmtId="0" fontId="5" fillId="0" borderId="0"/>
    <xf numFmtId="0" fontId="32" fillId="28" borderId="52" applyNumberFormat="0" applyAlignment="0" applyProtection="0"/>
    <xf numFmtId="0" fontId="33" fillId="29" borderId="52" applyNumberFormat="0" applyAlignment="0" applyProtection="0"/>
    <xf numFmtId="0" fontId="4" fillId="0" borderId="0"/>
    <xf numFmtId="0" fontId="3" fillId="0" borderId="0"/>
    <xf numFmtId="0" fontId="2" fillId="0" borderId="0"/>
    <xf numFmtId="9" fontId="35" fillId="0" borderId="0" applyFont="0" applyFill="0" applyBorder="0" applyAlignment="0" applyProtection="0"/>
    <xf numFmtId="0" fontId="36" fillId="0" borderId="0"/>
    <xf numFmtId="0" fontId="1" fillId="0" borderId="0"/>
    <xf numFmtId="0" fontId="13" fillId="0" borderId="0" applyNumberFormat="0" applyFill="0" applyBorder="0" applyAlignment="0" applyProtection="0"/>
  </cellStyleXfs>
  <cellXfs count="26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/>
    </xf>
    <xf numFmtId="49" fontId="8" fillId="6" borderId="2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4" borderId="12" xfId="0" applyFill="1" applyBorder="1"/>
    <xf numFmtId="0" fontId="0" fillId="0" borderId="12" xfId="0" applyBorder="1"/>
    <xf numFmtId="0" fontId="9" fillId="2" borderId="1" xfId="0" applyFont="1" applyFill="1" applyBorder="1" applyAlignment="1">
      <alignment horizontal="center" vertical="center"/>
    </xf>
    <xf numFmtId="0" fontId="15" fillId="0" borderId="0" xfId="0" applyFont="1"/>
    <xf numFmtId="0" fontId="0" fillId="0" borderId="4" xfId="0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right"/>
    </xf>
    <xf numFmtId="0" fontId="0" fillId="0" borderId="3" xfId="0" applyBorder="1"/>
    <xf numFmtId="0" fontId="0" fillId="0" borderId="8" xfId="0" applyBorder="1" applyAlignment="1">
      <alignment horizontal="center"/>
    </xf>
    <xf numFmtId="0" fontId="0" fillId="0" borderId="17" xfId="0" applyBorder="1"/>
    <xf numFmtId="0" fontId="0" fillId="0" borderId="4" xfId="0" applyBorder="1" applyAlignment="1">
      <alignment horizontal="center"/>
    </xf>
    <xf numFmtId="0" fontId="12" fillId="11" borderId="1" xfId="0" applyFont="1" applyFill="1" applyBorder="1" applyAlignment="1">
      <alignment horizontal="left" vertical="center"/>
    </xf>
    <xf numFmtId="0" fontId="12" fillId="10" borderId="1" xfId="0" applyFont="1" applyFill="1" applyBorder="1" applyAlignment="1">
      <alignment horizontal="left" vertical="center"/>
    </xf>
    <xf numFmtId="0" fontId="0" fillId="8" borderId="1" xfId="0" applyFill="1" applyBorder="1"/>
    <xf numFmtId="49" fontId="0" fillId="8" borderId="1" xfId="0" applyNumberForma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12" fillId="0" borderId="0" xfId="0" applyFont="1" applyAlignment="1">
      <alignment horizontal="left" vertical="center"/>
    </xf>
    <xf numFmtId="0" fontId="11" fillId="10" borderId="4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right" vertical="center"/>
    </xf>
    <xf numFmtId="164" fontId="11" fillId="10" borderId="1" xfId="0" applyNumberFormat="1" applyFont="1" applyFill="1" applyBorder="1" applyAlignment="1">
      <alignment horizontal="right" vertical="center"/>
    </xf>
    <xf numFmtId="0" fontId="11" fillId="10" borderId="3" xfId="0" applyFont="1" applyFill="1" applyBorder="1" applyAlignment="1">
      <alignment horizontal="left" vertical="center"/>
    </xf>
    <xf numFmtId="0" fontId="18" fillId="0" borderId="0" xfId="0" applyFont="1"/>
    <xf numFmtId="0" fontId="19" fillId="0" borderId="0" xfId="0" applyFont="1"/>
    <xf numFmtId="0" fontId="12" fillId="0" borderId="1" xfId="0" applyFont="1" applyBorder="1" applyAlignment="1">
      <alignment horizontal="center"/>
    </xf>
    <xf numFmtId="0" fontId="8" fillId="7" borderId="3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0" fillId="3" borderId="1" xfId="0" applyFill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49" fontId="0" fillId="0" borderId="1" xfId="0" applyNumberFormat="1" applyBorder="1"/>
    <xf numFmtId="49" fontId="0" fillId="8" borderId="1" xfId="0" applyNumberFormat="1" applyFill="1" applyBorder="1"/>
    <xf numFmtId="0" fontId="0" fillId="25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textRotation="90"/>
    </xf>
    <xf numFmtId="0" fontId="21" fillId="0" borderId="1" xfId="0" applyFont="1" applyBorder="1" applyAlignment="1">
      <alignment horizontal="center"/>
    </xf>
    <xf numFmtId="0" fontId="0" fillId="14" borderId="1" xfId="0" applyFill="1" applyBorder="1" applyAlignment="1">
      <alignment horizontal="left" vertical="center"/>
    </xf>
    <xf numFmtId="49" fontId="0" fillId="14" borderId="1" xfId="0" applyNumberFormat="1" applyFill="1" applyBorder="1" applyAlignment="1">
      <alignment horizontal="right" vertical="center"/>
    </xf>
    <xf numFmtId="49" fontId="0" fillId="0" borderId="1" xfId="0" applyNumberFormat="1" applyBorder="1" applyAlignment="1">
      <alignment horizontal="right" vertical="center"/>
    </xf>
    <xf numFmtId="49" fontId="0" fillId="0" borderId="1" xfId="0" applyNumberFormat="1" applyBorder="1" applyAlignment="1">
      <alignment horizontal="right"/>
    </xf>
    <xf numFmtId="49" fontId="21" fillId="0" borderId="1" xfId="0" applyNumberFormat="1" applyFont="1" applyBorder="1" applyAlignment="1">
      <alignment horizontal="left"/>
    </xf>
    <xf numFmtId="49" fontId="0" fillId="8" borderId="2" xfId="0" applyNumberFormat="1" applyFill="1" applyBorder="1"/>
    <xf numFmtId="49" fontId="8" fillId="6" borderId="4" xfId="0" applyNumberFormat="1" applyFont="1" applyFill="1" applyBorder="1" applyAlignment="1">
      <alignment horizontal="left" vertical="center"/>
    </xf>
    <xf numFmtId="0" fontId="0" fillId="0" borderId="8" xfId="0" applyBorder="1" applyAlignment="1">
      <alignment horizontal="left"/>
    </xf>
    <xf numFmtId="0" fontId="0" fillId="0" borderId="3" xfId="0" applyBorder="1" applyAlignment="1">
      <alignment vertical="top" wrapText="1"/>
    </xf>
    <xf numFmtId="49" fontId="0" fillId="0" borderId="4" xfId="0" applyNumberFormat="1" applyBorder="1" applyAlignment="1">
      <alignment horizontal="right"/>
    </xf>
    <xf numFmtId="0" fontId="0" fillId="0" borderId="6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4" xfId="0" quotePrefix="1" applyBorder="1" applyAlignment="1">
      <alignment horizontal="left"/>
    </xf>
    <xf numFmtId="49" fontId="0" fillId="14" borderId="6" xfId="0" applyNumberFormat="1" applyFill="1" applyBorder="1" applyAlignment="1">
      <alignment horizontal="center" vertical="center"/>
    </xf>
    <xf numFmtId="49" fontId="0" fillId="14" borderId="20" xfId="0" applyNumberFormat="1" applyFill="1" applyBorder="1" applyAlignment="1">
      <alignment horizontal="center" vertical="center"/>
    </xf>
    <xf numFmtId="49" fontId="0" fillId="14" borderId="8" xfId="0" applyNumberFormat="1" applyFill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49" fontId="0" fillId="0" borderId="42" xfId="0" applyNumberFormat="1" applyBorder="1" applyAlignment="1">
      <alignment horizontal="center" vertical="center" wrapText="1"/>
    </xf>
    <xf numFmtId="49" fontId="0" fillId="0" borderId="43" xfId="0" applyNumberFormat="1" applyBorder="1" applyAlignment="1">
      <alignment horizontal="center" vertical="center" wrapText="1"/>
    </xf>
    <xf numFmtId="49" fontId="0" fillId="0" borderId="44" xfId="0" applyNumberForma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9" fontId="0" fillId="0" borderId="0" xfId="0" applyNumberFormat="1"/>
    <xf numFmtId="0" fontId="10" fillId="0" borderId="1" xfId="0" applyFont="1" applyBorder="1"/>
    <xf numFmtId="2" fontId="10" fillId="0" borderId="0" xfId="0" applyNumberFormat="1" applyFont="1"/>
    <xf numFmtId="0" fontId="13" fillId="0" borderId="1" xfId="1" applyBorder="1"/>
    <xf numFmtId="0" fontId="10" fillId="0" borderId="24" xfId="0" applyFont="1" applyBorder="1"/>
    <xf numFmtId="0" fontId="12" fillId="11" borderId="1" xfId="0" applyFont="1" applyFill="1" applyBorder="1" applyAlignment="1">
      <alignment horizontal="right" vertical="center"/>
    </xf>
    <xf numFmtId="0" fontId="10" fillId="0" borderId="0" xfId="0" applyFont="1"/>
    <xf numFmtId="0" fontId="27" fillId="0" borderId="0" xfId="0" applyFont="1"/>
    <xf numFmtId="0" fontId="0" fillId="0" borderId="6" xfId="0" applyBorder="1"/>
    <xf numFmtId="49" fontId="0" fillId="8" borderId="8" xfId="0" applyNumberFormat="1" applyFill="1" applyBorder="1"/>
    <xf numFmtId="0" fontId="12" fillId="0" borderId="0" xfId="0" applyFont="1"/>
    <xf numFmtId="0" fontId="27" fillId="0" borderId="1" xfId="0" applyFont="1" applyBorder="1"/>
    <xf numFmtId="0" fontId="28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7" fillId="0" borderId="1" xfId="0" applyFont="1" applyBorder="1" applyAlignment="1">
      <alignment horizontal="left"/>
    </xf>
    <xf numFmtId="0" fontId="27" fillId="0" borderId="1" xfId="0" applyFont="1" applyBorder="1" applyAlignment="1">
      <alignment horizontal="right"/>
    </xf>
    <xf numFmtId="49" fontId="10" fillId="0" borderId="8" xfId="0" applyNumberFormat="1" applyFont="1" applyBorder="1" applyAlignment="1">
      <alignment horizontal="left"/>
    </xf>
    <xf numFmtId="0" fontId="0" fillId="14" borderId="6" xfId="0" applyFill="1" applyBorder="1" applyAlignment="1">
      <alignment horizontal="center" vertical="center"/>
    </xf>
    <xf numFmtId="0" fontId="0" fillId="14" borderId="20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/>
    <xf numFmtId="0" fontId="29" fillId="0" borderId="0" xfId="0" applyFont="1"/>
    <xf numFmtId="0" fontId="10" fillId="0" borderId="1" xfId="0" applyFont="1" applyBorder="1" applyAlignment="1">
      <alignment vertical="center" wrapText="1"/>
    </xf>
    <xf numFmtId="0" fontId="16" fillId="0" borderId="0" xfId="0" applyFont="1"/>
    <xf numFmtId="0" fontId="23" fillId="19" borderId="3" xfId="0" applyFont="1" applyFill="1" applyBorder="1" applyAlignment="1">
      <alignment horizontal="left" vertical="center"/>
    </xf>
    <xf numFmtId="0" fontId="23" fillId="19" borderId="3" xfId="0" applyFont="1" applyFill="1" applyBorder="1" applyAlignment="1">
      <alignment horizontal="right" vertical="center"/>
    </xf>
    <xf numFmtId="0" fontId="20" fillId="21" borderId="1" xfId="0" applyFont="1" applyFill="1" applyBorder="1" applyAlignment="1">
      <alignment horizontal="left" vertical="center"/>
    </xf>
    <xf numFmtId="0" fontId="13" fillId="0" borderId="0" xfId="1"/>
    <xf numFmtId="0" fontId="20" fillId="21" borderId="4" xfId="0" applyFont="1" applyFill="1" applyBorder="1" applyAlignment="1">
      <alignment horizontal="left" vertical="center"/>
    </xf>
    <xf numFmtId="49" fontId="12" fillId="11" borderId="21" xfId="0" applyNumberFormat="1" applyFont="1" applyFill="1" applyBorder="1" applyAlignment="1">
      <alignment horizontal="center" vertical="center"/>
    </xf>
    <xf numFmtId="49" fontId="16" fillId="17" borderId="11" xfId="0" applyNumberFormat="1" applyFont="1" applyFill="1" applyBorder="1"/>
    <xf numFmtId="0" fontId="12" fillId="0" borderId="1" xfId="0" applyFont="1" applyBorder="1" applyAlignment="1">
      <alignment horizontal="left"/>
    </xf>
    <xf numFmtId="0" fontId="0" fillId="5" borderId="23" xfId="0" applyFill="1" applyBorder="1" applyAlignment="1">
      <alignment horizontal="center" vertical="center"/>
    </xf>
    <xf numFmtId="49" fontId="20" fillId="20" borderId="11" xfId="0" applyNumberFormat="1" applyFont="1" applyFill="1" applyBorder="1"/>
    <xf numFmtId="0" fontId="20" fillId="21" borderId="1" xfId="0" applyFont="1" applyFill="1" applyBorder="1" applyAlignment="1">
      <alignment horizontal="right" vertical="center"/>
    </xf>
    <xf numFmtId="164" fontId="20" fillId="21" borderId="1" xfId="0" applyNumberFormat="1" applyFont="1" applyFill="1" applyBorder="1" applyAlignment="1">
      <alignment horizontal="right" vertical="center"/>
    </xf>
    <xf numFmtId="0" fontId="20" fillId="21" borderId="5" xfId="0" applyFont="1" applyFill="1" applyBorder="1" applyAlignment="1">
      <alignment horizontal="center" vertical="center"/>
    </xf>
    <xf numFmtId="49" fontId="27" fillId="0" borderId="1" xfId="0" applyNumberFormat="1" applyFont="1" applyBorder="1" applyAlignment="1">
      <alignment horizontal="right"/>
    </xf>
    <xf numFmtId="0" fontId="0" fillId="0" borderId="16" xfId="0" applyBorder="1" applyAlignment="1">
      <alignment horizontal="center"/>
    </xf>
    <xf numFmtId="0" fontId="0" fillId="0" borderId="40" xfId="0" applyBorder="1" applyAlignment="1">
      <alignment vertical="center" wrapText="1"/>
    </xf>
    <xf numFmtId="0" fontId="0" fillId="0" borderId="41" xfId="0" applyBorder="1" applyAlignment="1">
      <alignment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30" fillId="24" borderId="0" xfId="0" applyFont="1" applyFill="1"/>
    <xf numFmtId="0" fontId="0" fillId="0" borderId="33" xfId="0" applyBorder="1"/>
    <xf numFmtId="0" fontId="0" fillId="24" borderId="1" xfId="0" applyFill="1" applyBorder="1"/>
    <xf numFmtId="164" fontId="12" fillId="10" borderId="3" xfId="0" applyNumberFormat="1" applyFont="1" applyFill="1" applyBorder="1" applyAlignment="1">
      <alignment horizontal="right" vertical="center"/>
    </xf>
    <xf numFmtId="0" fontId="20" fillId="21" borderId="3" xfId="0" applyFont="1" applyFill="1" applyBorder="1" applyAlignment="1">
      <alignment horizontal="left" vertical="center"/>
    </xf>
    <xf numFmtId="0" fontId="23" fillId="19" borderId="11" xfId="0" applyFont="1" applyFill="1" applyBorder="1" applyAlignment="1">
      <alignment horizontal="left" vertical="center"/>
    </xf>
    <xf numFmtId="164" fontId="12" fillId="11" borderId="3" xfId="0" applyNumberFormat="1" applyFont="1" applyFill="1" applyBorder="1" applyAlignment="1">
      <alignment horizontal="right" vertical="center"/>
    </xf>
    <xf numFmtId="164" fontId="22" fillId="19" borderId="3" xfId="0" applyNumberFormat="1" applyFont="1" applyFill="1" applyBorder="1" applyAlignment="1">
      <alignment horizontal="right" vertical="center"/>
    </xf>
    <xf numFmtId="49" fontId="0" fillId="0" borderId="0" xfId="0" applyNumberFormat="1" applyAlignment="1">
      <alignment horizontal="left"/>
    </xf>
    <xf numFmtId="0" fontId="24" fillId="0" borderId="0" xfId="0" applyFont="1"/>
    <xf numFmtId="49" fontId="20" fillId="21" borderId="2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34" fillId="0" borderId="0" xfId="0" applyFont="1"/>
    <xf numFmtId="0" fontId="11" fillId="10" borderId="5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left" vertical="center"/>
    </xf>
    <xf numFmtId="0" fontId="12" fillId="11" borderId="3" xfId="0" applyFont="1" applyFill="1" applyBorder="1" applyAlignment="1">
      <alignment horizontal="left" vertical="center"/>
    </xf>
    <xf numFmtId="164" fontId="12" fillId="11" borderId="1" xfId="0" applyNumberFormat="1" applyFont="1" applyFill="1" applyBorder="1" applyAlignment="1">
      <alignment horizontal="right" vertical="center"/>
    </xf>
    <xf numFmtId="0" fontId="12" fillId="15" borderId="11" xfId="0" applyFont="1" applyFill="1" applyBorder="1"/>
    <xf numFmtId="0" fontId="12" fillId="11" borderId="5" xfId="0" applyFont="1" applyFill="1" applyBorder="1" applyAlignment="1">
      <alignment horizontal="center" vertical="center"/>
    </xf>
    <xf numFmtId="164" fontId="23" fillId="19" borderId="3" xfId="0" applyNumberFormat="1" applyFont="1" applyFill="1" applyBorder="1" applyAlignment="1">
      <alignment horizontal="right" vertical="center"/>
    </xf>
    <xf numFmtId="0" fontId="0" fillId="3" borderId="0" xfId="0" applyFill="1"/>
    <xf numFmtId="0" fontId="0" fillId="3" borderId="17" xfId="0" applyFill="1" applyBorder="1" applyAlignment="1">
      <alignment wrapText="1"/>
    </xf>
    <xf numFmtId="0" fontId="0" fillId="5" borderId="22" xfId="0" applyFill="1" applyBorder="1" applyAlignment="1">
      <alignment horizontal="center" vertical="center" textRotation="90"/>
    </xf>
    <xf numFmtId="0" fontId="0" fillId="5" borderId="48" xfId="0" applyFill="1" applyBorder="1" applyAlignment="1">
      <alignment horizontal="center" vertical="center" textRotation="90"/>
    </xf>
    <xf numFmtId="0" fontId="0" fillId="5" borderId="47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 textRotation="90" wrapText="1"/>
    </xf>
    <xf numFmtId="0" fontId="31" fillId="0" borderId="0" xfId="0" applyFont="1"/>
    <xf numFmtId="49" fontId="31" fillId="30" borderId="3" xfId="0" applyNumberFormat="1" applyFont="1" applyFill="1" applyBorder="1" applyAlignment="1">
      <alignment horizontal="center"/>
    </xf>
    <xf numFmtId="49" fontId="31" fillId="12" borderId="3" xfId="0" applyNumberFormat="1" applyFont="1" applyFill="1" applyBorder="1" applyAlignment="1">
      <alignment horizontal="center"/>
    </xf>
    <xf numFmtId="49" fontId="31" fillId="31" borderId="3" xfId="0" applyNumberFormat="1" applyFont="1" applyFill="1" applyBorder="1" applyAlignment="1">
      <alignment horizontal="center"/>
    </xf>
    <xf numFmtId="49" fontId="31" fillId="13" borderId="3" xfId="0" applyNumberFormat="1" applyFont="1" applyFill="1" applyBorder="1" applyAlignment="1">
      <alignment horizontal="center"/>
    </xf>
    <xf numFmtId="49" fontId="31" fillId="27" borderId="3" xfId="0" applyNumberFormat="1" applyFont="1" applyFill="1" applyBorder="1" applyAlignment="1">
      <alignment horizontal="center"/>
    </xf>
    <xf numFmtId="49" fontId="31" fillId="18" borderId="3" xfId="0" applyNumberFormat="1" applyFont="1" applyFill="1" applyBorder="1" applyAlignment="1">
      <alignment horizontal="center"/>
    </xf>
    <xf numFmtId="49" fontId="31" fillId="26" borderId="3" xfId="0" applyNumberFormat="1" applyFont="1" applyFill="1" applyBorder="1" applyAlignment="1">
      <alignment horizontal="center"/>
    </xf>
    <xf numFmtId="49" fontId="37" fillId="23" borderId="3" xfId="0" applyNumberFormat="1" applyFont="1" applyFill="1" applyBorder="1" applyAlignment="1">
      <alignment horizontal="center"/>
    </xf>
    <xf numFmtId="49" fontId="37" fillId="32" borderId="3" xfId="0" applyNumberFormat="1" applyFont="1" applyFill="1" applyBorder="1" applyAlignment="1">
      <alignment horizontal="center"/>
    </xf>
    <xf numFmtId="49" fontId="37" fillId="33" borderId="3" xfId="0" applyNumberFormat="1" applyFont="1" applyFill="1" applyBorder="1" applyAlignment="1">
      <alignment horizontal="center"/>
    </xf>
    <xf numFmtId="49" fontId="31" fillId="34" borderId="1" xfId="0" applyNumberFormat="1" applyFont="1" applyFill="1" applyBorder="1" applyAlignment="1">
      <alignment horizontal="center"/>
    </xf>
    <xf numFmtId="49" fontId="31" fillId="0" borderId="0" xfId="0" applyNumberFormat="1" applyFont="1"/>
    <xf numFmtId="49" fontId="0" fillId="0" borderId="51" xfId="0" applyNumberFormat="1" applyBorder="1"/>
    <xf numFmtId="49" fontId="31" fillId="0" borderId="51" xfId="0" applyNumberFormat="1" applyFont="1" applyBorder="1"/>
    <xf numFmtId="49" fontId="31" fillId="14" borderId="15" xfId="0" applyNumberFormat="1" applyFont="1" applyFill="1" applyBorder="1"/>
    <xf numFmtId="0" fontId="31" fillId="14" borderId="15" xfId="0" applyFont="1" applyFill="1" applyBorder="1"/>
    <xf numFmtId="49" fontId="0" fillId="14" borderId="0" xfId="0" applyNumberFormat="1" applyFill="1"/>
    <xf numFmtId="0" fontId="0" fillId="14" borderId="0" xfId="0" applyFill="1"/>
    <xf numFmtId="0" fontId="9" fillId="2" borderId="1" xfId="0" applyFont="1" applyFill="1" applyBorder="1" applyAlignment="1">
      <alignment horizontal="center"/>
    </xf>
    <xf numFmtId="0" fontId="32" fillId="28" borderId="1" xfId="6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33" fillId="29" borderId="1" xfId="7" applyBorder="1"/>
    <xf numFmtId="49" fontId="32" fillId="28" borderId="1" xfId="6" applyNumberFormat="1" applyBorder="1"/>
    <xf numFmtId="0" fontId="33" fillId="29" borderId="1" xfId="7" applyBorder="1" applyAlignment="1">
      <alignment horizontal="center"/>
    </xf>
    <xf numFmtId="49" fontId="31" fillId="26" borderId="1" xfId="0" applyNumberFormat="1" applyFont="1" applyFill="1" applyBorder="1" applyAlignment="1">
      <alignment horizontal="center"/>
    </xf>
    <xf numFmtId="0" fontId="23" fillId="19" borderId="5" xfId="0" applyFont="1" applyFill="1" applyBorder="1" applyAlignment="1">
      <alignment horizontal="center" vertical="center"/>
    </xf>
    <xf numFmtId="49" fontId="11" fillId="10" borderId="21" xfId="0" applyNumberFormat="1" applyFont="1" applyFill="1" applyBorder="1" applyAlignment="1">
      <alignment horizontal="center" vertical="center"/>
    </xf>
    <xf numFmtId="49" fontId="23" fillId="16" borderId="11" xfId="0" applyNumberFormat="1" applyFont="1" applyFill="1" applyBorder="1"/>
    <xf numFmtId="0" fontId="13" fillId="0" borderId="4" xfId="1" applyBorder="1"/>
    <xf numFmtId="0" fontId="0" fillId="0" borderId="16" xfId="0" applyBorder="1"/>
    <xf numFmtId="0" fontId="13" fillId="0" borderId="16" xfId="1" applyBorder="1"/>
    <xf numFmtId="164" fontId="12" fillId="11" borderId="7" xfId="0" applyNumberFormat="1" applyFont="1" applyFill="1" applyBorder="1" applyAlignment="1">
      <alignment horizontal="right" vertical="center"/>
    </xf>
    <xf numFmtId="0" fontId="0" fillId="0" borderId="16" xfId="0" quotePrefix="1" applyBorder="1"/>
    <xf numFmtId="0" fontId="0" fillId="35" borderId="16" xfId="0" applyFill="1" applyBorder="1"/>
    <xf numFmtId="49" fontId="0" fillId="14" borderId="1" xfId="0" applyNumberFormat="1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49" fontId="39" fillId="0" borderId="24" xfId="0" applyNumberFormat="1" applyFont="1" applyBorder="1" applyAlignment="1">
      <alignment horizontal="left"/>
    </xf>
    <xf numFmtId="49" fontId="40" fillId="0" borderId="24" xfId="0" applyNumberFormat="1" applyFont="1" applyBorder="1" applyAlignment="1">
      <alignment horizontal="left"/>
    </xf>
    <xf numFmtId="0" fontId="41" fillId="0" borderId="24" xfId="0" applyFont="1" applyBorder="1" applyAlignment="1">
      <alignment horizontal="left"/>
    </xf>
    <xf numFmtId="0" fontId="0" fillId="0" borderId="24" xfId="0" applyBorder="1"/>
    <xf numFmtId="49" fontId="24" fillId="0" borderId="24" xfId="0" applyNumberFormat="1" applyFont="1" applyBorder="1" applyAlignment="1">
      <alignment horizontal="left"/>
    </xf>
    <xf numFmtId="49" fontId="24" fillId="0" borderId="24" xfId="0" quotePrefix="1" applyNumberFormat="1" applyFont="1" applyBorder="1" applyAlignment="1">
      <alignment horizontal="left"/>
    </xf>
    <xf numFmtId="49" fontId="24" fillId="0" borderId="24" xfId="0" applyNumberFormat="1" applyFont="1" applyBorder="1" applyAlignment="1">
      <alignment horizontal="left" vertical="center"/>
    </xf>
    <xf numFmtId="0" fontId="24" fillId="0" borderId="24" xfId="0" applyFont="1" applyBorder="1" applyAlignment="1">
      <alignment horizontal="left"/>
    </xf>
    <xf numFmtId="0" fontId="13" fillId="0" borderId="0" xfId="1" applyAlignment="1">
      <alignment vertical="center"/>
    </xf>
    <xf numFmtId="0" fontId="13" fillId="0" borderId="1" xfId="14" applyBorder="1"/>
    <xf numFmtId="49" fontId="42" fillId="0" borderId="0" xfId="0" applyNumberFormat="1" applyFont="1" applyAlignment="1">
      <alignment horizontal="left"/>
    </xf>
    <xf numFmtId="0" fontId="13" fillId="0" borderId="0" xfId="14"/>
    <xf numFmtId="2" fontId="22" fillId="19" borderId="21" xfId="0" applyNumberFormat="1" applyFont="1" applyFill="1" applyBorder="1" applyAlignment="1">
      <alignment horizontal="center" vertical="center"/>
    </xf>
    <xf numFmtId="0" fontId="17" fillId="3" borderId="46" xfId="0" applyFont="1" applyFill="1" applyBorder="1"/>
    <xf numFmtId="0" fontId="17" fillId="3" borderId="50" xfId="0" applyFont="1" applyFill="1" applyBorder="1"/>
    <xf numFmtId="0" fontId="16" fillId="15" borderId="15" xfId="0" applyFont="1" applyFill="1" applyBorder="1"/>
    <xf numFmtId="0" fontId="11" fillId="11" borderId="9" xfId="0" applyFont="1" applyFill="1" applyBorder="1" applyAlignment="1">
      <alignment horizontal="center" vertical="center"/>
    </xf>
    <xf numFmtId="49" fontId="12" fillId="11" borderId="19" xfId="0" applyNumberFormat="1" applyFont="1" applyFill="1" applyBorder="1" applyAlignment="1">
      <alignment horizontal="center" vertical="center"/>
    </xf>
    <xf numFmtId="0" fontId="11" fillId="11" borderId="16" xfId="0" applyFont="1" applyFill="1" applyBorder="1" applyAlignment="1">
      <alignment horizontal="left" vertical="center"/>
    </xf>
    <xf numFmtId="0" fontId="11" fillId="11" borderId="7" xfId="0" applyFont="1" applyFill="1" applyBorder="1" applyAlignment="1">
      <alignment horizontal="left" vertical="center"/>
    </xf>
    <xf numFmtId="0" fontId="11" fillId="11" borderId="8" xfId="0" applyFont="1" applyFill="1" applyBorder="1" applyAlignment="1">
      <alignment horizontal="left" vertical="center"/>
    </xf>
    <xf numFmtId="0" fontId="11" fillId="11" borderId="8" xfId="0" applyFont="1" applyFill="1" applyBorder="1" applyAlignment="1">
      <alignment horizontal="right" vertical="center"/>
    </xf>
    <xf numFmtId="164" fontId="11" fillId="11" borderId="8" xfId="0" applyNumberFormat="1" applyFont="1" applyFill="1" applyBorder="1" applyAlignment="1">
      <alignment horizontal="right" vertical="center"/>
    </xf>
    <xf numFmtId="164" fontId="20" fillId="21" borderId="3" xfId="0" applyNumberFormat="1" applyFont="1" applyFill="1" applyBorder="1" applyAlignment="1">
      <alignment horizontal="right" vertical="center"/>
    </xf>
    <xf numFmtId="0" fontId="14" fillId="3" borderId="45" xfId="0" applyFont="1" applyFill="1" applyBorder="1" applyAlignment="1">
      <alignment horizontal="center" textRotation="90"/>
    </xf>
    <xf numFmtId="0" fontId="14" fillId="3" borderId="18" xfId="0" applyFont="1" applyFill="1" applyBorder="1" applyAlignment="1">
      <alignment horizontal="center" vertical="center"/>
    </xf>
    <xf numFmtId="49" fontId="0" fillId="3" borderId="49" xfId="0" applyNumberFormat="1" applyFill="1" applyBorder="1" applyAlignment="1">
      <alignment horizontal="center" vertical="center"/>
    </xf>
    <xf numFmtId="0" fontId="0" fillId="3" borderId="46" xfId="0" applyFill="1" applyBorder="1" applyAlignment="1">
      <alignment horizontal="center" vertical="center"/>
    </xf>
    <xf numFmtId="14" fontId="0" fillId="22" borderId="10" xfId="0" applyNumberFormat="1" applyFill="1" applyBorder="1" applyAlignment="1">
      <alignment horizontal="center"/>
    </xf>
    <xf numFmtId="14" fontId="0" fillId="22" borderId="13" xfId="0" applyNumberFormat="1" applyFill="1" applyBorder="1" applyAlignment="1">
      <alignment horizontal="center"/>
    </xf>
    <xf numFmtId="14" fontId="0" fillId="22" borderId="14" xfId="0" applyNumberFormat="1" applyFill="1" applyBorder="1" applyAlignment="1">
      <alignment horizontal="center"/>
    </xf>
    <xf numFmtId="14" fontId="0" fillId="22" borderId="7" xfId="0" applyNumberFormat="1" applyFill="1" applyBorder="1" applyAlignment="1">
      <alignment horizontal="center"/>
    </xf>
    <xf numFmtId="14" fontId="0" fillId="22" borderId="15" xfId="0" applyNumberFormat="1" applyFill="1" applyBorder="1" applyAlignment="1">
      <alignment horizontal="center"/>
    </xf>
    <xf numFmtId="14" fontId="0" fillId="22" borderId="16" xfId="0" applyNumberFormat="1" applyFill="1" applyBorder="1" applyAlignment="1">
      <alignment horizontal="center"/>
    </xf>
    <xf numFmtId="0" fontId="16" fillId="14" borderId="6" xfId="0" applyFont="1" applyFill="1" applyBorder="1" applyAlignment="1">
      <alignment horizontal="center" vertical="center"/>
    </xf>
    <xf numFmtId="0" fontId="16" fillId="14" borderId="20" xfId="0" applyFont="1" applyFill="1" applyBorder="1" applyAlignment="1">
      <alignment horizontal="center" vertical="center"/>
    </xf>
    <xf numFmtId="0" fontId="16" fillId="14" borderId="8" xfId="0" applyFont="1" applyFill="1" applyBorder="1" applyAlignment="1">
      <alignment horizontal="center" vertical="center"/>
    </xf>
    <xf numFmtId="49" fontId="0" fillId="14" borderId="6" xfId="0" applyNumberFormat="1" applyFill="1" applyBorder="1" applyAlignment="1">
      <alignment horizontal="center" vertical="center"/>
    </xf>
    <xf numFmtId="49" fontId="0" fillId="14" borderId="20" xfId="0" applyNumberFormat="1" applyFill="1" applyBorder="1" applyAlignment="1">
      <alignment horizontal="center" vertical="center"/>
    </xf>
    <xf numFmtId="49" fontId="0" fillId="14" borderId="8" xfId="0" applyNumberFormat="1" applyFill="1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0" fillId="14" borderId="20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9" borderId="3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3" borderId="20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textRotation="90"/>
    </xf>
    <xf numFmtId="0" fontId="0" fillId="14" borderId="1" xfId="0" applyFill="1" applyBorder="1" applyAlignment="1">
      <alignment horizontal="left" vertical="center"/>
    </xf>
    <xf numFmtId="0" fontId="0" fillId="14" borderId="1" xfId="0" applyFill="1" applyBorder="1" applyAlignment="1">
      <alignment horizontal="center" vertical="center"/>
    </xf>
    <xf numFmtId="49" fontId="0" fillId="14" borderId="6" xfId="0" applyNumberFormat="1" applyFill="1" applyBorder="1" applyAlignment="1">
      <alignment vertical="center"/>
    </xf>
    <xf numFmtId="49" fontId="0" fillId="14" borderId="20" xfId="0" applyNumberFormat="1" applyFill="1" applyBorder="1" applyAlignment="1">
      <alignment vertical="center"/>
    </xf>
    <xf numFmtId="49" fontId="0" fillId="14" borderId="8" xfId="0" applyNumberFormat="1" applyFill="1" applyBorder="1" applyAlignment="1">
      <alignment vertical="center"/>
    </xf>
    <xf numFmtId="0" fontId="0" fillId="24" borderId="1" xfId="0" applyFill="1" applyBorder="1" applyAlignment="1">
      <alignment horizontal="center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31" fillId="9" borderId="3" xfId="0" applyFont="1" applyFill="1" applyBorder="1" applyAlignment="1">
      <alignment horizontal="left"/>
    </xf>
    <xf numFmtId="0" fontId="31" fillId="9" borderId="11" xfId="0" applyFont="1" applyFill="1" applyBorder="1" applyAlignment="1">
      <alignment horizontal="left"/>
    </xf>
    <xf numFmtId="0" fontId="31" fillId="9" borderId="4" xfId="0" applyFont="1" applyFill="1" applyBorder="1" applyAlignment="1">
      <alignment horizontal="left"/>
    </xf>
    <xf numFmtId="49" fontId="31" fillId="14" borderId="51" xfId="0" applyNumberFormat="1" applyFont="1" applyFill="1" applyBorder="1" applyAlignment="1">
      <alignment horizontal="center"/>
    </xf>
    <xf numFmtId="49" fontId="31" fillId="14" borderId="0" xfId="0" applyNumberFormat="1" applyFont="1" applyFill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</cellXfs>
  <cellStyles count="15">
    <cellStyle name="Berechnung" xfId="7" builtinId="22"/>
    <cellStyle name="Eingabe" xfId="6" builtinId="20"/>
    <cellStyle name="Hyperlink" xfId="1" xr:uid="{00000000-000B-0000-0000-000008000000}"/>
    <cellStyle name="Link" xfId="14" builtinId="8"/>
    <cellStyle name="Prozent 2" xfId="11" xr:uid="{CA92E0C0-5860-4607-B107-BC3E2C073977}"/>
    <cellStyle name="Standard" xfId="0" builtinId="0"/>
    <cellStyle name="Standard 2" xfId="2" xr:uid="{E18EE68C-1AD2-48D5-BF5A-F749774728FB}"/>
    <cellStyle name="Standard 3" xfId="3" xr:uid="{6BA2A25E-082E-491B-A15E-9DB6919AA32E}"/>
    <cellStyle name="Standard 4" xfId="5" xr:uid="{3A2B663D-5137-4033-B54E-3210A6FDF49F}"/>
    <cellStyle name="Standard 5" xfId="8" xr:uid="{F959E425-7CB3-46CD-B587-A5B9ED149FB9}"/>
    <cellStyle name="Standard 6" xfId="9" xr:uid="{6B1E9CB1-1139-4755-9978-E5902499B8B1}"/>
    <cellStyle name="Standard 7" xfId="10" xr:uid="{E0C7F67D-A642-40F0-AFAF-99EB73E27897}"/>
    <cellStyle name="Standard 8" xfId="12" xr:uid="{85319C66-00C5-4409-9D17-D1E3EA30B559}"/>
    <cellStyle name="Standard 9" xfId="13" xr:uid="{64481A11-0225-4167-9E4D-F99BB23D4D25}"/>
    <cellStyle name="Währung 2" xfId="4" xr:uid="{C6DDC917-228F-495A-845D-9755B55041E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strike val="0"/>
        <outline val="0"/>
        <shadow val="0"/>
        <u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2" tint="-9.9978637043366805E-2"/>
        </patternFill>
      </fill>
    </dxf>
    <dxf>
      <font>
        <b/>
        <strike val="0"/>
        <outline val="0"/>
        <shadow val="0"/>
        <u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</dxf>
    <dxf>
      <font>
        <b/>
        <strike val="0"/>
        <outline val="0"/>
        <shadow val="0"/>
        <u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1"/>
        <color rgb="FF00B050"/>
        <name val="Calibri"/>
        <family val="2"/>
        <charset val="1"/>
        <scheme val="none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AD6C2"/>
      <rgbColor rgb="FF0000FF"/>
      <rgbColor rgb="FFFFD243"/>
      <rgbColor rgb="FFFF00FF"/>
      <rgbColor rgb="FF00FFFF"/>
      <rgbColor rgb="FF800000"/>
      <rgbColor rgb="FFF2F2F2"/>
      <rgbColor rgb="FF000080"/>
      <rgbColor rgb="FF548235"/>
      <rgbColor rgb="FF6600FF"/>
      <rgbColor rgb="FFD0CECE"/>
      <rgbColor rgb="FFBFBFBF"/>
      <rgbColor rgb="FF7C7C7C"/>
      <rgbColor rgb="FFA8BCF6"/>
      <rgbColor rgb="FF7E36B4"/>
      <rgbColor rgb="FFFFF2CC"/>
      <rgbColor rgb="FFDEEBF7"/>
      <rgbColor rgb="FF660066"/>
      <rgbColor rgb="FFF19B61"/>
      <rgbColor rgb="FFE1CCF0"/>
      <rgbColor rgb="FFC7D4F9"/>
      <rgbColor rgb="FF000080"/>
      <rgbColor rgb="FFFF00FF"/>
      <rgbColor rgb="FFFFD966"/>
      <rgbColor rgb="FF00E6DC"/>
      <rgbColor rgb="FF800080"/>
      <rgbColor rgb="FF800000"/>
      <rgbColor rgb="FFD9D9D9"/>
      <rgbColor rgb="FF0000FF"/>
      <rgbColor rgb="FFC5E0B4"/>
      <rgbColor rgb="FFEFF6EA"/>
      <rgbColor rgb="FFE2F0D9"/>
      <rgbColor rgb="FFFFE699"/>
      <rgbColor rgb="FF9DC3E6"/>
      <rgbColor rgb="FFFFA3A3"/>
      <rgbColor rgb="FFBA8BDD"/>
      <rgbColor rgb="FFFFC5C5"/>
      <rgbColor rgb="FF9751CB"/>
      <rgbColor rgb="FFA9D18E"/>
      <rgbColor rgb="FF92D050"/>
      <rgbColor rgb="FFFFC000"/>
      <rgbColor rgb="FFF4B183"/>
      <rgbColor rgb="FFED7D31"/>
      <rgbColor rgb="FF767171"/>
      <rgbColor rgb="FFA6A6A6"/>
      <rgbColor rgb="FF003366"/>
      <rgbColor rgb="FFBDD7EE"/>
      <rgbColor rgb="FF003300"/>
      <rgbColor rgb="FF333300"/>
      <rgbColor rgb="FFFFDD71"/>
      <rgbColor rgb="FF6E2F9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9900"/>
      <color rgb="FF9751CB"/>
      <color rgb="FFCAA5E5"/>
      <color rgb="FFBA8BDD"/>
      <color rgb="FF8EB096"/>
      <color rgb="FFC9D9CD"/>
      <color rgb="FF215F75"/>
      <color rgb="FF319DA5"/>
      <color rgb="FFE1CCF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nsicht1" id="{AB0DF8C1-EE96-4B5F-B11A-2AC6E2108E01}">
    <nsvFilter filterId="{A7AF5FB4-80B5-490D-99C7-DBD137568980}" ref="A2:M11" tableId="0"/>
  </namedSheetView>
  <namedSheetView name="Scherer" id="{E19506C5-2C3A-4463-8865-C96E2B5DB276}"/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3" displayName="Tabelle13" ref="B2:B9" totalsRowShown="0" headerRowDxfId="6">
  <autoFilter ref="B2:B9" xr:uid="{00000000-0009-0000-0100-000001000000}"/>
  <tableColumns count="1">
    <tableColumn id="1" xr3:uid="{00000000-0010-0000-0000-000001000000}" name="Freigabestan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le134" displayName="Tabelle134" ref="D2:D51" totalsRowShown="0" headerRowDxfId="5">
  <autoFilter ref="D2:D51" xr:uid="{00000000-0009-0000-0100-000002000000}"/>
  <tableColumns count="1">
    <tableColumn id="1" xr3:uid="{00000000-0010-0000-0100-000001000000}" name="Werkstoff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le135" displayName="Tabelle135" ref="F2:F19" totalsRowShown="0" headerRowDxfId="4">
  <autoFilter ref="F2:F19" xr:uid="{00000000-0009-0000-0100-000003000000}"/>
  <tableColumns count="1">
    <tableColumn id="1" xr3:uid="{00000000-0010-0000-0200-000001000000}" name="Beschichtung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le136" displayName="Tabelle136" ref="H2:H21" totalsRowShown="0" headerRowDxfId="3">
  <autoFilter ref="H2:H21" xr:uid="{00000000-0009-0000-0100-000004000000}"/>
  <tableColumns count="1">
    <tableColumn id="1" xr3:uid="{00000000-0010-0000-0300-000001000000}" name="Fertigungsverfahre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eshop.boellhoff.de/Niettechnik/RIVQUICK-Blindniete/Standardblindniete/RIVQUICK-Standardblindniete-/-9.html" TargetMode="External"/><Relationship Id="rId18" Type="http://schemas.openxmlformats.org/officeDocument/2006/relationships/hyperlink" Target="https://eshop.boellhoff.de/Gewindegenerierung/RIVKLE-Blindnietmuttern/RIVKLE-Standard/RIVKLE-Standard-Blindnietmuttern-/-5.html?listtype=search&amp;searchparam=blindnietmutter" TargetMode="External"/><Relationship Id="rId26" Type="http://schemas.openxmlformats.org/officeDocument/2006/relationships/hyperlink" Target="https://eshop.wuerth.de/Sechskantschraube-mit-Schaft-ISO-4014-Stahl-88-verzinkt-blau-passiviert-A2K-SHR-6KT-ISO4014-88-SW13-A2K-M8X230/00538%20%20230.sku/de/DE/EUR/?CampaignName=SR007" TargetMode="External"/><Relationship Id="rId39" Type="http://schemas.openxmlformats.org/officeDocument/2006/relationships/hyperlink" Target="https://www.emico.com/de-DE/emico/verbindungs-und-befestigungselemente/scheiben-huelsen-ohne-gewinde/distanzhuelsen-28x64x5-pa-schwarz-05-28-64-5s" TargetMode="External"/><Relationship Id="rId21" Type="http://schemas.openxmlformats.org/officeDocument/2006/relationships/hyperlink" Target="https://eshop.boellhoff.de/Scheiben/Unterlegscheiben/Karosseriescheiben/Karosseriescheiben.html?listtype=search&amp;searchparam=Karosseriescheiben" TargetMode="External"/><Relationship Id="rId34" Type="http://schemas.openxmlformats.org/officeDocument/2006/relationships/hyperlink" Target="https://eshop.wuerth.de/Sechskantschraube-mit-Schaft-DIN-931-Stahl-88-verzinkt-blau-passiviert-A2K-SHR-6KT-DIN931-88-SW17-A2K-M10X230/005310%20230.sku/de/DE/EUR/" TargetMode="External"/><Relationship Id="rId42" Type="http://schemas.openxmlformats.org/officeDocument/2006/relationships/hyperlink" Target="https://eshop.wuerth.de/Senkschraube-mit-Innensechskant-ISO-10642-Stahl-088-verzinkt-blau-passiviert-A2K-SHR-ISO10642-088-IS25-A2K-M4X6/00874%20%206.sku/de/DE/EUR/?CampaignName=SR007" TargetMode="External"/><Relationship Id="rId47" Type="http://schemas.openxmlformats.org/officeDocument/2006/relationships/hyperlink" Target="https://eshop.wuerth.de/Einnietmutter-Flachrundkopf-MU-NT-CHLPR-08-47-127X211-M6/094875%206.sku/de/DE/EUR/?CampaignName=CS008befestigt" TargetMode="External"/><Relationship Id="rId50" Type="http://schemas.openxmlformats.org/officeDocument/2006/relationships/hyperlink" Target="https://eshop.boellhoff.de/Muttern/Muttern-mit-Sicherungsfunktion/Sechskantmuttern/Sechskantmuttern-/-1.html?listtype=search&amp;searchparam=6926&amp;anid=1_16360288" TargetMode="External"/><Relationship Id="rId55" Type="http://schemas.openxmlformats.org/officeDocument/2006/relationships/hyperlink" Target="https://www.frantos.com/de/scheiben-ringe/unterlegscheiben/din-9021-unterlegscheiben-mit-grossem-aussendurchmesser/matrix/113-2-kunststoff-polyamid?product=26156" TargetMode="External"/><Relationship Id="rId63" Type="http://schemas.openxmlformats.org/officeDocument/2006/relationships/hyperlink" Target="https://eshop.boellhoff.de/Muttern/Muttern-mit-Sicherungsfunktion/Sechskantmuttern/Sechskantmuttern-/-12.html?listtype=search&amp;searchparam=985&amp;anid=1_16344633" TargetMode="External"/><Relationship Id="rId68" Type="http://schemas.openxmlformats.org/officeDocument/2006/relationships/hyperlink" Target="https://eshop.boellhoff.de/Schrauben/Schrauben-mit-Aussenkraftangriff/Sicherungsschrauben/RIPP-LOCK-Sicherungsschrauben-Stahl-verzinkt-M-8-40-200-Stk.html?force_sid=58b33f75c71745bd320295524b3ca137&amp;redirected=1" TargetMode="External"/><Relationship Id="rId76" Type="http://schemas.openxmlformats.org/officeDocument/2006/relationships/hyperlink" Target="https://eshop.boellhoff.de/Niettechnik/RIVKLE-Blindnietmuttern/RIVKLE-Standard/RIVKLE-Standard-Blindnietmuttern-/-7.html?listtype=search&amp;searchparam=34367080230&amp;anid=1_625292847" TargetMode="External"/><Relationship Id="rId84" Type="http://schemas.openxmlformats.org/officeDocument/2006/relationships/printerSettings" Target="../printerSettings/printerSettings2.bin"/><Relationship Id="rId7" Type="http://schemas.openxmlformats.org/officeDocument/2006/relationships/hyperlink" Target="https://eshop.boellhoff.de/Schrauben/Schrauben-mit-Aussenkraftangriff/Sechskantschrauben/Sechskantschrauben-Stahl-8-8-verzinkt-M-10-60-100-Stk-/-1.html?force_sid=58b614ace06b4ef682e0097fd8d09e91&amp;redirected=1" TargetMode="External"/><Relationship Id="rId71" Type="http://schemas.openxmlformats.org/officeDocument/2006/relationships/hyperlink" Target="https://eshop.boellhoff.de/en/Screws/Screws-with-internal-force-application/Plastic-screws/EJOT-Delta-PT-screws-for-thermoplastic-materials.html?listtype=search&amp;searchparam=5451&amp;anid=1_12463222" TargetMode="External"/><Relationship Id="rId2" Type="http://schemas.openxmlformats.org/officeDocument/2006/relationships/hyperlink" Target="https://www.item24.com/de-de/hammermutter-8-m6-verzinkt-62606/" TargetMode="External"/><Relationship Id="rId16" Type="http://schemas.openxmlformats.org/officeDocument/2006/relationships/hyperlink" Target="https://eshop.boellhoff.de/Schrauben/Schrauben-mit-Innenkraftangriff/Zylinderschrauben/Zylinderschrauben-/-19.html" TargetMode="External"/><Relationship Id="rId29" Type="http://schemas.openxmlformats.org/officeDocument/2006/relationships/hyperlink" Target="https://eshop.boellhoff.de/Muttern/Muttern-mit-Sicherungsfunktion/Sechskantmuttern/Sechskantmuttern-/-17.html?listtype=search&amp;searchparam=982&amp;anid=1_16342619" TargetMode="External"/><Relationship Id="rId11" Type="http://schemas.openxmlformats.org/officeDocument/2006/relationships/hyperlink" Target="https://www.ganternorm.com/de/produkte/3.2-Befestigen-Positionieren-Nivellieren-mit-Schraub-Klemm-und-Auflageelementen/Augenschrauben-Passschrauben-Druckschrauben/ISO-7379-Passschrauben" TargetMode="External"/><Relationship Id="rId24" Type="http://schemas.openxmlformats.org/officeDocument/2006/relationships/hyperlink" Target="https://eshop.wuerth.de/Schraube-abgeflachter-Halbrundkopf-und-Bund-mit-Innensechsrund-DIN-34805-2-TX-Antrieb-Edelstahl-A2-070-SHR-DIN34805-2-A2-070-TX45-M8X60/0098040860.sku/de/DE/EUR/?CampaignName=SR007" TargetMode="External"/><Relationship Id="rId32" Type="http://schemas.openxmlformats.org/officeDocument/2006/relationships/hyperlink" Target="https://eshop.boellhoff.de/Schrauben/Schrauben-mit-Aussenkraftangriff/Sechskantschrauben/Sechskantschrauben-/-4.html" TargetMode="External"/><Relationship Id="rId37" Type="http://schemas.openxmlformats.org/officeDocument/2006/relationships/hyperlink" Target="https://eshop.wuerth.de/Gummischeibe-Pak-frei-SBR-NR-70-70-7-Shore-A-SHB-GUMMI-PAKF-65X20X3/042236520.sku/de/DE/EUR/?CampaignName=SR007" TargetMode="External"/><Relationship Id="rId40" Type="http://schemas.openxmlformats.org/officeDocument/2006/relationships/hyperlink" Target="https://eshop.boellhoff.de/Scheiben/Unterlegscheiben/Scheiben/Scheiben-fuer-Schrauben-mit-schweren-Spannhuelsen-8-4-500.html?uid=a71b1ef0d7ebff3e5c6758e2f83e5029&amp;site=1&amp;userInput=7349VZ8%2C4&amp;ignoreForCache%5b%5d=userInput&amp;queryFromSuggest=true&amp;ignoreForCache%5b%5d=queryFromSuggest" TargetMode="External"/><Relationship Id="rId45" Type="http://schemas.openxmlformats.org/officeDocument/2006/relationships/hyperlink" Target="https://eshop.wuerth.de/Einnietmutter-mit-Senkkopf-und-Schaftraendelung-MU-NT-SEKPF-A2K-15-40-109X185-M8/094832008.sku/de/DE/EUR/" TargetMode="External"/><Relationship Id="rId53" Type="http://schemas.openxmlformats.org/officeDocument/2006/relationships/hyperlink" Target="https://www.frantos.com/de/scheiben-ringe/unterlegscheiben/din-9021-unterlegscheiben-mit-grossem-aussendurchmesser/matrix/113-2-kunststoff-polyamid?product=26157" TargetMode="External"/><Relationship Id="rId58" Type="http://schemas.openxmlformats.org/officeDocument/2006/relationships/hyperlink" Target="https://eshop.boellhoff.de/Schrauben/Schrauben-mit-Innenkraftangriff/Zylinderschrauben/Zylinderschrauben-/-6.html?listtype=search&amp;searchparam=912&amp;anid=1_11903514" TargetMode="External"/><Relationship Id="rId66" Type="http://schemas.openxmlformats.org/officeDocument/2006/relationships/hyperlink" Target="https://www.schellen-shop.de/Hersteller/NORMA/NORMAFIX/schwere-rohrschelle-nach-din-1593-number=2000000166570" TargetMode="External"/><Relationship Id="rId74" Type="http://schemas.openxmlformats.org/officeDocument/2006/relationships/hyperlink" Target="https://eshop.wuerth.de/Sechskantmutter-niedrige-Form-mit-Klemmteil-nichtmetallischer-Einsatz-DIN-985-Stahl-I10I-verzinkt-blau-passiviert-A2K-MU-STOP-DIN985-I10I-SW10-A2K-M6/037006.sku/de/DE/EUR/" TargetMode="External"/><Relationship Id="rId79" Type="http://schemas.openxmlformats.org/officeDocument/2006/relationships/hyperlink" Target="https://www.frantos.com/de/muttern/sechskantmuttern/din-934-sechskantmuttern/matrix/754-69-metrisches-normalgewinde-linksgewinde-ohne-flansch-ohne-sperrverzahnung-edelstahl-a2?product=54908" TargetMode="External"/><Relationship Id="rId5" Type="http://schemas.openxmlformats.org/officeDocument/2006/relationships/hyperlink" Target="https://eshop.boellhoff.de/Schrauben/Schrauben-mit-Innenkraftangriff/Senkschrauben/Senkschrauben-Stahl-8-8-verzinkt-M-5-14-500-Stk.html?force_sid=cb5c705a262e8827382b2af4f74bdd5b&amp;redirected=1" TargetMode="External"/><Relationship Id="rId61" Type="http://schemas.openxmlformats.org/officeDocument/2006/relationships/hyperlink" Target="https://eshop.boellhoff.de/Muttern/Muttern-mit-Sicherungsfunktion/Sechskantmuttern/Sechskantmuttern-/-1.html?listtype=search&amp;searchparam=6926&amp;anid=1_16360200" TargetMode="External"/><Relationship Id="rId82" Type="http://schemas.openxmlformats.org/officeDocument/2006/relationships/hyperlink" Target="https://eshop.boellhoff.de/Niettechnik/RIVKLE-Blindnietmuttern/RIVKLE-Standard/RIVKLE-Standard-Blindnietmuttern-/-9.html?anid=1_625293035" TargetMode="External"/><Relationship Id="rId10" Type="http://schemas.openxmlformats.org/officeDocument/2006/relationships/hyperlink" Target="https://eshop.wuerth.de/Produktkategorien/Sprengring-fuer-Bohrung-Stahl-blank/14013516130103.cyid/1401.cgid/de/DE/EUR/;pgid=_SyqelfHuAE7AgenBedw0kx100002t0T9c4w;sid=DSQvA_CPbEsuA5QTKAiiCACFY3tpKTinQLr8YCh9" TargetMode="External"/><Relationship Id="rId19" Type="http://schemas.openxmlformats.org/officeDocument/2006/relationships/hyperlink" Target="https://eshop.boellhoff.de/Schrauben/Schrauben-mit-Innenkraftangriff/Zylinderschrauben/Zylinderschrauben-Stahl-8-8-verzinkt-M-5-12-500-Stk.html?force_sid=269bae42d427ebeda4596d7d214fcd0d&amp;redirected=1" TargetMode="External"/><Relationship Id="rId31" Type="http://schemas.openxmlformats.org/officeDocument/2006/relationships/hyperlink" Target="https://eshop.boellhoff.de/Muttern/Muttern-mit-Sicherungsfunktion/Sechskantmuttern/Sechskantmuttern-Stahl-08-verzinkt-M-4-1000-Stk.html?redirected=1" TargetMode="External"/><Relationship Id="rId44" Type="http://schemas.openxmlformats.org/officeDocument/2006/relationships/hyperlink" Target="https://eshop.boellhoff.de/Muttern/Muttern-mit-Sicherungsfunktion/Sechskantmuttern/Sechskantmuttern-/-12.html?listtype=search&amp;searchparam=985&amp;anid=1_16344756" TargetMode="External"/><Relationship Id="rId52" Type="http://schemas.openxmlformats.org/officeDocument/2006/relationships/hyperlink" Target="https://www.frantos.com/de/schrauben/sechskantschrauben/din-6921-sechskantschrauben-mit-flansch/matrix?product=107319" TargetMode="External"/><Relationship Id="rId60" Type="http://schemas.openxmlformats.org/officeDocument/2006/relationships/hyperlink" Target="https://www.frantos.com/de/schrauben/linsenkopfschrauben/iso-7380-2-linsenkopfschrauben-mit-bund-und-innensechskant/matrix/659-4-isk-mit-flansch-edelstahl-a2?product=26013" TargetMode="External"/><Relationship Id="rId65" Type="http://schemas.openxmlformats.org/officeDocument/2006/relationships/hyperlink" Target="https://www.rampa.com/eu/de/RAMPA-EINSCHLAGMUTTERN-TYP-TS/021612001010" TargetMode="External"/><Relationship Id="rId73" Type="http://schemas.openxmlformats.org/officeDocument/2006/relationships/hyperlink" Target="https://eshop.wuerth.de/Produktkategorien/EN-1664-Stahl-10-verzinkt/14013512130403.cyid/1401.cgid/de/DE/EUR/" TargetMode="External"/><Relationship Id="rId78" Type="http://schemas.openxmlformats.org/officeDocument/2006/relationships/hyperlink" Target="https://eshop.boellhoff.de/Muttern/Muttern-ohne-Sicherungsfunktion/Sechskantmuttern/Sechskantmuttern.html?listtype=search&amp;searchparam=934&amp;anid=1_16222763" TargetMode="External"/><Relationship Id="rId81" Type="http://schemas.openxmlformats.org/officeDocument/2006/relationships/hyperlink" Target="https://www.frantos.com/de/schrauben/linsenkopfschrauben/iso-7380-2-linsenkopfschrauben-mit-bund-und-innensechskant/matrix/659-4-isk-mit-flansch-edelstahl-a2?product=33516" TargetMode="External"/><Relationship Id="rId4" Type="http://schemas.openxmlformats.org/officeDocument/2006/relationships/hyperlink" Target="https://eshop.boellhoff.de/Scheiben/Unterlegscheiben/Scheiben/Scheiben-Stahl-140-HV-verzinkt-5-3-1000-Stk-/.html?force_sid=58b614ace06b4ef682e0097fd8d09e91&amp;redirected=1" TargetMode="External"/><Relationship Id="rId9" Type="http://schemas.openxmlformats.org/officeDocument/2006/relationships/hyperlink" Target="https://eshop.boellhoff.de/Niettechnik/RIVQUICK-Blindniete/Standardblindniete/RIVQUICK-Standardblindniete-/-6.html?force_sid=269bae42d427ebeda4596d7d214fcd0d&amp;listtype=search&amp;searchparam=2213124814001" TargetMode="External"/><Relationship Id="rId14" Type="http://schemas.openxmlformats.org/officeDocument/2006/relationships/hyperlink" Target="https://eshop.boellhoff.de/Niettechnik/RIVQUICK-Blindniete/Standardblindniete/RIVQUICK-Standardblindniete-/-2.html" TargetMode="External"/><Relationship Id="rId22" Type="http://schemas.openxmlformats.org/officeDocument/2006/relationships/hyperlink" Target="https://eshop.boellhoff.de/Scheiben/Unterlegscheiben/Karosseriescheiben/Karosseriescheiben.html?listtype=search&amp;searchparam=Karosseriescheiben" TargetMode="External"/><Relationship Id="rId27" Type="http://schemas.openxmlformats.org/officeDocument/2006/relationships/hyperlink" Target="https://eshop.boellhoff.de/Schrauben/Schrauben-mit-Innenkraftangriff/Zylinderschrauben/Zylinderschrauben-Stahl-8-8-verzinkt-M-4-8-1000-Stk.html?redirected=1" TargetMode="External"/><Relationship Id="rId30" Type="http://schemas.openxmlformats.org/officeDocument/2006/relationships/hyperlink" Target="https://eshop.wuerth.de/Senkschraube-mit-Innensechskant-ISO-10642-Stahl-0109-verzinkt-blau-passiviert-A2K-SHR-ISO10642-0109-IS25-A2K-M4X18/008904%2018.sku/de/DE/EUR/?CampaignName=SR001&amp;VisibleSearchTerm=00890418" TargetMode="External"/><Relationship Id="rId35" Type="http://schemas.openxmlformats.org/officeDocument/2006/relationships/hyperlink" Target="https://eshop.boellhoff.de/Niettechnik/RIVQUICK-Blindniete/Standardblindniete/RIVQUICK-Standardblindniete-3-9-5-00-6-00-500.html?uid=a71b1ef0d7ebff3e5c6758e2f83e5029&amp;site=1&amp;userInput=22132130090&amp;ignoreForCache%5B%5D=userInput&amp;queryFromSuggest=true&amp;ignoreForCache%5B%5D=queryFromSuggest&amp;anid=1_625296763" TargetMode="External"/><Relationship Id="rId43" Type="http://schemas.openxmlformats.org/officeDocument/2006/relationships/hyperlink" Target="https://eshop.boellhoff.de/Schrauben/Schrauben-mit-Aussenkraftangriff/Sechskantschrauben/Sechskantschrauben-/-5.html?listtype=search&amp;searchparam=din+933&amp;anid=1_661000050" TargetMode="External"/><Relationship Id="rId48" Type="http://schemas.openxmlformats.org/officeDocument/2006/relationships/hyperlink" Target="https://eshop.boellhoff.de/Schrauben/Schrauben-mit-Innenkraftangriff/Zylinderschrauben/Zylinderschrauben-/-7.html?anid=1_12040870" TargetMode="External"/><Relationship Id="rId56" Type="http://schemas.openxmlformats.org/officeDocument/2006/relationships/hyperlink" Target="https://www.frantos.com/de/schrauben/linsenkopfschrauben/iso-7380-2-linsenkopfschrauben-mit-bund-und-innensechskant/matrix/659-4-isk-mit-flansch-edelstahl-a2?product=26007" TargetMode="External"/><Relationship Id="rId64" Type="http://schemas.openxmlformats.org/officeDocument/2006/relationships/hyperlink" Target="https://eshop.boellhoff.de/Schrauben/Schrauben-mit-Innenkraftangriff/Senkschrauben/Senkschrauben-/-11.html?listtype=search&amp;searchparam=7991&amp;anid=1_12403548" TargetMode="External"/><Relationship Id="rId69" Type="http://schemas.openxmlformats.org/officeDocument/2006/relationships/hyperlink" Target="https://eshop.boellhoff.de/en/Screws/Screws-with-internal-force-application/Hexagon-socket-button-head-screws-with-collar/Round-head-screws.html?force_sid=58b614ace06b4ef682e0097fd8d09e91&amp;listtype=search&amp;searchparam=2109VZ616" TargetMode="External"/><Relationship Id="rId77" Type="http://schemas.openxmlformats.org/officeDocument/2006/relationships/hyperlink" Target="https://eshop.boellhoff.de/Schrauben/Schrauben-mit-Aussenkraftangriff/Sechskantschrauben/Sechskantschrauben.html?listtype=search&amp;searchparam=933&amp;anid=1_13035896" TargetMode="External"/><Relationship Id="rId8" Type="http://schemas.openxmlformats.org/officeDocument/2006/relationships/hyperlink" Target="https://eshop.boellhoff.de/Schrauben/Schrauben-mit-Sicherungsfunktion/Sicherungsschrauben/RIPP-LOCK-Sicherungsschrauben-/.html?force_sid=43a4bbf1c67714c7a514574d6f547582&amp;redirected=1" TargetMode="External"/><Relationship Id="rId51" Type="http://schemas.openxmlformats.org/officeDocument/2006/relationships/hyperlink" Target="https://eshop.boellhoff.de/Schrauben/Schrauben-mit-Aussenkraftangriff/Sechskantschrauben/Sechskantschrauben-/-22.html?listtype=search&amp;searchparam=6921&amp;anid=1_241374596" TargetMode="External"/><Relationship Id="rId72" Type="http://schemas.openxmlformats.org/officeDocument/2006/relationships/hyperlink" Target="https://eshop.boellhoff.de/Muttern/Muttern-mit-Sicherungsfunktion/Sechskantmuttern/Sechskantmuttern-/-1.html?listtype=search&amp;searchparam=6926&amp;anid=1_16360288" TargetMode="External"/><Relationship Id="rId80" Type="http://schemas.openxmlformats.org/officeDocument/2006/relationships/hyperlink" Target="https://eshop.boellhoff.de/Niettechnik/RIVKLE-Blindnietmuttern/RIVKLE-Standard/RIVKLE-Standard-Blindnietmuttern-/-7.html?listtype=search&amp;searchparam=34367080230&amp;anid=1_625292819" TargetMode="External"/><Relationship Id="rId3" Type="http://schemas.openxmlformats.org/officeDocument/2006/relationships/hyperlink" Target="https://www.grainger.com/product/GRAINGER-APPROVED-Cap-Nut-Cap-Nut-Nut-6RA46" TargetMode="External"/><Relationship Id="rId12" Type="http://schemas.openxmlformats.org/officeDocument/2006/relationships/hyperlink" Target="https://eshop.boellhoff.de/Muttern/Muttern-mit-Sicherungsfunktion/Sicherungsmuttern/Sicherungsmuttern.html" TargetMode="External"/><Relationship Id="rId17" Type="http://schemas.openxmlformats.org/officeDocument/2006/relationships/hyperlink" Target="https://eshop.boellhoff.de/Schrauben/Schrauben-mit-Aussenkraftangriff/Sechskantschrauben/Sechskantschrauben-/-4.html?listtype=search&amp;searchparam=8VZ825" TargetMode="External"/><Relationship Id="rId25" Type="http://schemas.openxmlformats.org/officeDocument/2006/relationships/hyperlink" Target="https://eshop.boellhoff.de/Schrauben/Schrauben-mit-Aussenkraftangriff/Sechskantschrauben/Sechskantschrauben-/.html?listtype=search&amp;searchparam=DIN933" TargetMode="External"/><Relationship Id="rId33" Type="http://schemas.openxmlformats.org/officeDocument/2006/relationships/hyperlink" Target="https://eshop.boellhoff.de/Schrauben/Schrauben-mit-Aussenkraftangriff/Sechskantschrauben/Sechskantschrauben-/-4.html" TargetMode="External"/><Relationship Id="rId38" Type="http://schemas.openxmlformats.org/officeDocument/2006/relationships/hyperlink" Target="https://eshop.wuerth.de/Sperrzahnschraube-Sechskantkopf-mit-Flansch-W-0274-Stahl-88-verzinkt-blau-passiviert-A2K-SHR-6KT-FLSH-UKV-88-SW15-A2K-M10X45/027401045.sku/de/DE/EUR/?CampaignName=SR007" TargetMode="External"/><Relationship Id="rId46" Type="http://schemas.openxmlformats.org/officeDocument/2006/relationships/hyperlink" Target="https://www.ganternorm.com/de/produkte/3.2-Befestigen-Positionieren-Nivellieren-mit-Schraub-Klemm-und-Auflageelementen/Augenschrauben-Passschrauben-Druckschrauben/ISO-7379-Edelstahl-Passschrauben" TargetMode="External"/><Relationship Id="rId59" Type="http://schemas.openxmlformats.org/officeDocument/2006/relationships/hyperlink" Target="https://eshop.boellhoff.de/Schrauben/Schrauben-mit-Aussenkraftangriff/Sechskantschrauben/Sechskantschrauben-/-22.html?listtype=search&amp;searchparam=6921&amp;anid=1_241374590" TargetMode="External"/><Relationship Id="rId67" Type="http://schemas.openxmlformats.org/officeDocument/2006/relationships/hyperlink" Target="https://eshop.boellhoff.de/Schrauben/Schrauben-mit-Innenkraftangriff/Zylinderschrauben/Zylinderschrauben-/-9.html?force_sid=2cdd8a2d5029133d034e64f34053c9a0&amp;listtype=search&amp;searchparam=DIN_912" TargetMode="External"/><Relationship Id="rId20" Type="http://schemas.openxmlformats.org/officeDocument/2006/relationships/hyperlink" Target="https://eshop.boellhoff.de/Gewindeverstaerkung/HELICOIL-Gewindeeinsaetze/HELICOIL-Plus-Free-Running/HELICOIL-Plus-Free-Running-Gewindeeinsatz-/.html?listtype=search&amp;searchparam=helicoil" TargetMode="External"/><Relationship Id="rId41" Type="http://schemas.openxmlformats.org/officeDocument/2006/relationships/hyperlink" Target="https://www.gesipa.de/produkte/standard-blindnietmuttern/1455367-blindnietmuttern-stahl-geraendelt-senkkopf-m-5-x-7-x-135/" TargetMode="External"/><Relationship Id="rId54" Type="http://schemas.openxmlformats.org/officeDocument/2006/relationships/hyperlink" Target="https://eshop.boellhoff.de/Schrauben/Sonstige-Schrauben/Flachrundschrauben/Flachrundschrauben-/.html?listtype=search&amp;searchparam=603&amp;anid=1_15481828" TargetMode="External"/><Relationship Id="rId62" Type="http://schemas.openxmlformats.org/officeDocument/2006/relationships/hyperlink" Target="https://eshop.boellhoff.de/Scheiben/Unterlegscheiben/Scheiben/Scheiben-fuer-Spannzeug.html?listtype=search&amp;searchparam=6340&amp;anid=1_16040872" TargetMode="External"/><Relationship Id="rId70" Type="http://schemas.openxmlformats.org/officeDocument/2006/relationships/hyperlink" Target="https://www.frantos.com/de/scheiben-ringe/unterlegscheiben/din-125-a-unterlegscheiben-ohne-fase/matrix/14-1-ohne-fase-kunststoff-polyamid?product=26047" TargetMode="External"/><Relationship Id="rId75" Type="http://schemas.openxmlformats.org/officeDocument/2006/relationships/hyperlink" Target="https://www.frantos.com/de/muttern/selbstsichernde-muttern/din-6926-en-1663-sechskantmutter-mit-flansch/matrix/722-1-stahl-8-verzinkt?product=157884" TargetMode="External"/><Relationship Id="rId83" Type="http://schemas.openxmlformats.org/officeDocument/2006/relationships/hyperlink" Target="https://www.frantos.com/de/muttern/selbstsichernde-muttern/din-6926-en-1663-sechskantmutter-mit-flansch/matrix/722-1-stahl-8-verzinkt?product=157884" TargetMode="External"/><Relationship Id="rId1" Type="http://schemas.openxmlformats.org/officeDocument/2006/relationships/hyperlink" Target="https://eshop.boellhoff.de/en/Screws/Screws-with-internal-force-application/Hexagon-socket-button-head-screws-with-collar/Round-head-screws.html?force_sid=58b614ace06b4ef682e0097fd8d09e91&amp;listtype=search&amp;searchparam=2109VZ616" TargetMode="External"/><Relationship Id="rId6" Type="http://schemas.openxmlformats.org/officeDocument/2006/relationships/hyperlink" Target="https://eshop.boellhoff.de/Scheiben/Unterlegscheiben/Scheiben/Scheiben-Stahl-140-HV-verzinkt-8-4-500-Stk.html?force_sid=58b614ace06b4ef682e0097fd8d09e91&amp;redirected=1" TargetMode="External"/><Relationship Id="rId15" Type="http://schemas.openxmlformats.org/officeDocument/2006/relationships/hyperlink" Target="https://eshop.wuerth.de/Einnietmutter-Flachrundkopf-MU-NT-CHLPR-04-40-79X126-M4/094875%204.sku/de/DE/EUR/" TargetMode="External"/><Relationship Id="rId23" Type="http://schemas.openxmlformats.org/officeDocument/2006/relationships/hyperlink" Target="https://eshop.boellhoff.de/Scheiben/Unterlegscheiben/Karosseriescheiben/Karosseriescheiben.html?listtype=search&amp;searchparam=Karosseriescheiben" TargetMode="External"/><Relationship Id="rId28" Type="http://schemas.openxmlformats.org/officeDocument/2006/relationships/hyperlink" Target="https://eshop.boellhoff.de/Schrauben/Schrauben-mit-Sicherungsfunktion/Sicherungsschrauben/RIPP-LOCK-Sicherungsschrauben.html" TargetMode="External"/><Relationship Id="rId36" Type="http://schemas.openxmlformats.org/officeDocument/2006/relationships/hyperlink" Target="https://www.ejot.de/Verbindungstechnik/Produkte/Befestigungen-f%C3%BCr-hybride-Schaum-Strukturen/EJOT%C2%AE-EPPsys-D/p/VBT_EPPSYS_D" TargetMode="External"/><Relationship Id="rId49" Type="http://schemas.openxmlformats.org/officeDocument/2006/relationships/hyperlink" Target="https://eshop.wuerth.de/Hexagonal-bolt-with-flange-SCR-HEX-FLG-EN1665-109-ZSML-M8X65/416308%2065.sku/en/US/EUR/" TargetMode="External"/><Relationship Id="rId57" Type="http://schemas.openxmlformats.org/officeDocument/2006/relationships/hyperlink" Target="https://www.frantos.com/de/schrauben/linsenkopfschrauben/iso-7380-2-linsenkopfschrauben-mit-bund-und-innensechskant/matrix/659-4-isk-mit-flansch-edelstahl-a2?product=57152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F5FB4-80B5-490D-99C7-DBD137568980}">
  <sheetPr>
    <outlinePr summaryRight="0"/>
    <pageSetUpPr fitToPage="1"/>
  </sheetPr>
  <dimension ref="A1:M44"/>
  <sheetViews>
    <sheetView tabSelected="1" zoomScaleNormal="100" workbookViewId="0">
      <pane ySplit="2" topLeftCell="A3" activePane="bottomLeft" state="frozen"/>
      <selection pane="bottomLeft" activeCell="B8" sqref="B8"/>
    </sheetView>
  </sheetViews>
  <sheetFormatPr baseColWidth="10" defaultColWidth="11.44140625" defaultRowHeight="15" customHeight="1" outlineLevelCol="2"/>
  <cols>
    <col min="1" max="1" width="91.44140625" customWidth="1" outlineLevel="2"/>
    <col min="2" max="2" width="20.33203125" customWidth="1" outlineLevel="1"/>
    <col min="3" max="3" width="18.5546875" customWidth="1"/>
    <col min="4" max="4" width="5.44140625" style="21" customWidth="1"/>
    <col min="5" max="5" width="15.6640625" bestFit="1" customWidth="1"/>
    <col min="6" max="6" width="20.88671875" hidden="1" customWidth="1" outlineLevel="1"/>
    <col min="7" max="7" width="29.33203125" bestFit="1" customWidth="1" outlineLevel="1"/>
    <col min="8" max="8" width="76.6640625" bestFit="1" customWidth="1" outlineLevel="1"/>
    <col min="9" max="9" width="10.6640625" bestFit="1" customWidth="1" outlineLevel="1"/>
    <col min="10" max="10" width="6.5546875" customWidth="1" outlineLevel="1"/>
    <col min="11" max="11" width="7.44140625" customWidth="1" outlineLevel="1"/>
    <col min="12" max="12" width="8.88671875" bestFit="1" customWidth="1" outlineLevel="1"/>
    <col min="13" max="13" width="7.5546875" customWidth="1" outlineLevel="1"/>
  </cols>
  <sheetData>
    <row r="1" spans="1:13" ht="94.2" thickBot="1">
      <c r="A1" s="140" t="s">
        <v>1429</v>
      </c>
      <c r="B1" s="141" t="s">
        <v>130</v>
      </c>
      <c r="C1" s="209" t="s">
        <v>374</v>
      </c>
      <c r="D1" s="208" t="s">
        <v>73</v>
      </c>
      <c r="E1" s="210" t="s">
        <v>1430</v>
      </c>
      <c r="F1" s="211"/>
      <c r="G1" s="144" t="s">
        <v>75</v>
      </c>
      <c r="H1" s="142" t="s">
        <v>76</v>
      </c>
      <c r="I1" s="142" t="s">
        <v>77</v>
      </c>
      <c r="J1" s="145" t="s">
        <v>78</v>
      </c>
      <c r="K1" s="142" t="s">
        <v>79</v>
      </c>
      <c r="L1" s="143" t="s">
        <v>80</v>
      </c>
      <c r="M1" s="108" t="s">
        <v>81</v>
      </c>
    </row>
    <row r="2" spans="1:13" s="83" customFormat="1" ht="15" customHeight="1" thickBot="1">
      <c r="A2" s="197" t="str">
        <f t="shared" ref="A2:M2" si="0">A1</f>
        <v>Bauteilbenennung CAD</v>
      </c>
      <c r="B2" s="197" t="str">
        <f t="shared" si="0"/>
        <v>Bauteil</v>
      </c>
      <c r="C2" s="197" t="str">
        <f t="shared" si="0"/>
        <v>Teilenummer</v>
      </c>
      <c r="D2" s="197" t="str">
        <f t="shared" si="0"/>
        <v>Version/Revisonsnr.</v>
      </c>
      <c r="E2" s="198" t="str">
        <f t="shared" si="0"/>
        <v>Bauteilbenennung</v>
      </c>
      <c r="F2" s="198">
        <f t="shared" si="0"/>
        <v>0</v>
      </c>
      <c r="G2" s="197" t="str">
        <f t="shared" si="0"/>
        <v>Werkstoff</v>
      </c>
      <c r="H2" s="197" t="str">
        <f t="shared" si="0"/>
        <v>Beschichtung</v>
      </c>
      <c r="I2" s="197" t="str">
        <f t="shared" si="0"/>
        <v>Dichte</v>
      </c>
      <c r="J2" s="197" t="str">
        <f t="shared" si="0"/>
        <v>Material-stärke</v>
      </c>
      <c r="K2" s="197" t="str">
        <f t="shared" si="0"/>
        <v>Anzahl</v>
      </c>
      <c r="L2" s="197" t="str">
        <f t="shared" si="0"/>
        <v>Gewicht</v>
      </c>
      <c r="M2" s="197" t="str">
        <f t="shared" si="0"/>
        <v>∑</v>
      </c>
    </row>
    <row r="3" spans="1:13" s="79" customFormat="1" ht="15" customHeight="1">
      <c r="A3" s="175" t="s">
        <v>1428</v>
      </c>
      <c r="B3" s="200" t="s">
        <v>1432</v>
      </c>
      <c r="C3" s="173" t="str">
        <f t="shared" ref="C3:C10" si="1">LEFT(A3,11)</f>
        <v>111_222_333</v>
      </c>
      <c r="D3" s="196" t="str">
        <f t="shared" ref="D3:D10" si="2">MID(A3,13,2)</f>
        <v>00</v>
      </c>
      <c r="E3" s="125" t="str">
        <f t="shared" ref="E3:E10" si="3">MID(A3,28,FIND("__",A3)-28)</f>
        <v>TESTPRODUCT</v>
      </c>
      <c r="F3" s="125"/>
      <c r="G3" s="125" t="s">
        <v>89</v>
      </c>
      <c r="H3" s="100" t="s">
        <v>0</v>
      </c>
      <c r="I3" s="101" t="s">
        <v>0</v>
      </c>
      <c r="J3" s="101" t="s">
        <v>0</v>
      </c>
      <c r="K3" s="101">
        <v>1</v>
      </c>
      <c r="L3" s="139" t="s">
        <v>0</v>
      </c>
      <c r="M3" s="127" t="s">
        <v>0</v>
      </c>
    </row>
    <row r="4" spans="1:13" s="132" customFormat="1" ht="15" customHeight="1">
      <c r="A4" s="199" t="s">
        <v>1407</v>
      </c>
      <c r="B4" s="200" t="s">
        <v>1431</v>
      </c>
      <c r="C4" s="200" t="str">
        <f t="shared" si="1"/>
        <v>002_005_105</v>
      </c>
      <c r="D4" s="201" t="str">
        <f t="shared" si="2"/>
        <v>01</v>
      </c>
      <c r="E4" s="202" t="str">
        <f t="shared" si="3"/>
        <v>SPACER_AH_1</v>
      </c>
      <c r="F4" s="203"/>
      <c r="G4" s="202" t="s">
        <v>1408</v>
      </c>
      <c r="H4" s="204" t="s">
        <v>1414</v>
      </c>
      <c r="I4" s="205" t="s">
        <v>1417</v>
      </c>
      <c r="J4" s="205" t="s">
        <v>1420</v>
      </c>
      <c r="K4" s="205">
        <v>1</v>
      </c>
      <c r="L4" s="206">
        <v>8.3000000000000004E-2</v>
      </c>
      <c r="M4" s="179">
        <f t="shared" ref="M4:M10" si="4">K4*L4</f>
        <v>8.3000000000000004E-2</v>
      </c>
    </row>
    <row r="5" spans="1:13" s="79" customFormat="1" ht="15" customHeight="1">
      <c r="A5" s="137" t="s">
        <v>1422</v>
      </c>
      <c r="B5" s="138" t="s">
        <v>1432</v>
      </c>
      <c r="C5" s="138" t="str">
        <f t="shared" si="1"/>
        <v>111_222_333</v>
      </c>
      <c r="D5" s="105" t="str">
        <f t="shared" si="2"/>
        <v>00</v>
      </c>
      <c r="E5" s="134" t="str">
        <f t="shared" si="3"/>
        <v>ALU_PROFIL</v>
      </c>
      <c r="F5" s="135"/>
      <c r="G5" s="134" t="s">
        <v>1409</v>
      </c>
      <c r="H5" s="23" t="s">
        <v>1</v>
      </c>
      <c r="I5" s="78" t="s">
        <v>1417</v>
      </c>
      <c r="J5" s="78">
        <v>0</v>
      </c>
      <c r="K5" s="78">
        <v>1</v>
      </c>
      <c r="L5" s="136">
        <v>0.02</v>
      </c>
      <c r="M5" s="126">
        <f t="shared" si="4"/>
        <v>0.02</v>
      </c>
    </row>
    <row r="6" spans="1:13" s="79" customFormat="1" ht="15" customHeight="1">
      <c r="A6" s="137" t="s">
        <v>1423</v>
      </c>
      <c r="B6" s="138" t="s">
        <v>1432</v>
      </c>
      <c r="C6" s="138" t="str">
        <f t="shared" si="1"/>
        <v>111_222_333</v>
      </c>
      <c r="D6" s="105" t="str">
        <f t="shared" si="2"/>
        <v>00</v>
      </c>
      <c r="E6" s="134" t="str">
        <f t="shared" si="3"/>
        <v>BLECH</v>
      </c>
      <c r="F6" s="135"/>
      <c r="G6" s="134" t="s">
        <v>1410</v>
      </c>
      <c r="H6" s="23" t="s">
        <v>1415</v>
      </c>
      <c r="I6" s="78">
        <v>7850</v>
      </c>
      <c r="J6" s="78">
        <v>0</v>
      </c>
      <c r="K6" s="78">
        <v>2</v>
      </c>
      <c r="L6" s="136">
        <v>0.41199999999999998</v>
      </c>
      <c r="M6" s="126">
        <f t="shared" si="4"/>
        <v>0.82399999999999995</v>
      </c>
    </row>
    <row r="7" spans="1:13" s="79" customFormat="1" ht="15" customHeight="1">
      <c r="A7" s="106" t="s">
        <v>1424</v>
      </c>
      <c r="B7" s="133" t="s">
        <v>1432</v>
      </c>
      <c r="C7" s="133" t="str">
        <f t="shared" si="1"/>
        <v>111_222_333</v>
      </c>
      <c r="D7" s="174" t="str">
        <f t="shared" si="2"/>
        <v>00</v>
      </c>
      <c r="E7" s="29" t="str">
        <f t="shared" si="3"/>
        <v>DREHTEIL</v>
      </c>
      <c r="F7" s="32"/>
      <c r="G7" s="29" t="s">
        <v>1411</v>
      </c>
      <c r="H7" s="24" t="s">
        <v>1415</v>
      </c>
      <c r="I7" s="30">
        <v>7850</v>
      </c>
      <c r="J7" s="30">
        <v>0</v>
      </c>
      <c r="K7" s="30">
        <v>5</v>
      </c>
      <c r="L7" s="31">
        <v>3.8090000000000002</v>
      </c>
      <c r="M7" s="123">
        <f t="shared" si="4"/>
        <v>19.045000000000002</v>
      </c>
    </row>
    <row r="8" spans="1:13" s="79" customFormat="1" ht="15" customHeight="1">
      <c r="A8" s="109" t="s">
        <v>1425</v>
      </c>
      <c r="B8" s="112" t="s">
        <v>1432</v>
      </c>
      <c r="C8" s="112" t="str">
        <f t="shared" si="1"/>
        <v>111_222_333</v>
      </c>
      <c r="D8" s="130" t="str">
        <f t="shared" si="2"/>
        <v>00</v>
      </c>
      <c r="E8" s="104" t="str">
        <f t="shared" si="3"/>
        <v>GUSSTEIL</v>
      </c>
      <c r="F8" s="124"/>
      <c r="G8" s="104" t="s">
        <v>1412</v>
      </c>
      <c r="H8" s="102" t="s">
        <v>1415</v>
      </c>
      <c r="I8" s="110" t="s">
        <v>1418</v>
      </c>
      <c r="J8" s="110">
        <v>0</v>
      </c>
      <c r="K8" s="110">
        <v>1</v>
      </c>
      <c r="L8" s="111">
        <v>0.28799999999999998</v>
      </c>
      <c r="M8" s="207">
        <f t="shared" si="4"/>
        <v>0.28799999999999998</v>
      </c>
    </row>
    <row r="9" spans="1:13" s="79" customFormat="1" ht="15" customHeight="1">
      <c r="A9" s="106" t="s">
        <v>1426</v>
      </c>
      <c r="B9" s="133" t="s">
        <v>1432</v>
      </c>
      <c r="C9" s="133" t="str">
        <f t="shared" si="1"/>
        <v>111_222_333</v>
      </c>
      <c r="D9" s="174" t="str">
        <f t="shared" si="2"/>
        <v>00</v>
      </c>
      <c r="E9" s="29" t="str">
        <f t="shared" si="3"/>
        <v>KUNSTSTOFF</v>
      </c>
      <c r="F9" s="32"/>
      <c r="G9" s="29" t="s">
        <v>1413</v>
      </c>
      <c r="H9" s="24" t="s">
        <v>1416</v>
      </c>
      <c r="I9" s="30" t="s">
        <v>1419</v>
      </c>
      <c r="J9" s="30" t="s">
        <v>1421</v>
      </c>
      <c r="K9" s="30">
        <v>1</v>
      </c>
      <c r="L9" s="31">
        <v>0.16300000000000001</v>
      </c>
      <c r="M9" s="123">
        <f t="shared" si="4"/>
        <v>0.16300000000000001</v>
      </c>
    </row>
    <row r="10" spans="1:13" s="99" customFormat="1" ht="15" customHeight="1">
      <c r="A10" s="109" t="s">
        <v>1427</v>
      </c>
      <c r="B10" s="112" t="s">
        <v>1432</v>
      </c>
      <c r="C10" s="112" t="str">
        <f t="shared" si="1"/>
        <v>111_222_333</v>
      </c>
      <c r="D10" s="130" t="str">
        <f t="shared" si="2"/>
        <v>00</v>
      </c>
      <c r="E10" s="104" t="str">
        <f t="shared" si="3"/>
        <v>STAHL_PROFIL</v>
      </c>
      <c r="F10" s="124"/>
      <c r="G10" s="104" t="s">
        <v>106</v>
      </c>
      <c r="H10" s="102" t="s">
        <v>1</v>
      </c>
      <c r="I10" s="110">
        <v>7850</v>
      </c>
      <c r="J10" s="110">
        <v>0</v>
      </c>
      <c r="K10" s="110">
        <v>1</v>
      </c>
      <c r="L10" s="111">
        <v>4.2999999999999997E-2</v>
      </c>
      <c r="M10" s="207">
        <f t="shared" si="4"/>
        <v>4.2999999999999997E-2</v>
      </c>
    </row>
    <row r="11" spans="1:13" ht="12" customHeight="1">
      <c r="E11" t="s">
        <v>1</v>
      </c>
    </row>
    <row r="18" spans="5:5" ht="15" customHeight="1">
      <c r="E18" t="s">
        <v>1</v>
      </c>
    </row>
    <row r="20" spans="5:5" ht="15" customHeight="1">
      <c r="E20" t="s">
        <v>1</v>
      </c>
    </row>
    <row r="44" spans="3:3" ht="15" customHeight="1">
      <c r="C44" t="s">
        <v>1</v>
      </c>
    </row>
  </sheetData>
  <autoFilter ref="A2:M11" xr:uid="{A7AF5FB4-80B5-490D-99C7-DBD137568980}"/>
  <mergeCells count="1">
    <mergeCell ref="E1:F1"/>
  </mergeCells>
  <phoneticPr fontId="17" type="noConversion"/>
  <conditionalFormatting sqref="B3:B10">
    <cfRule type="duplicateValues" dxfId="2" priority="15982"/>
  </conditionalFormatting>
  <pageMargins left="0.7" right="0.7" top="0.78740157499999996" bottom="0.78740157499999996" header="0.3" footer="0.3"/>
  <pageSetup paperSize="9" scale="1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C97D2-C208-4F99-B55F-D5255A6CFCAA}">
  <dimension ref="A2:AI10"/>
  <sheetViews>
    <sheetView workbookViewId="0"/>
  </sheetViews>
  <sheetFormatPr baseColWidth="10" defaultColWidth="11.44140625" defaultRowHeight="14.4"/>
  <cols>
    <col min="1" max="1" width="16.44140625" bestFit="1" customWidth="1"/>
    <col min="2" max="2" width="18.44140625" bestFit="1" customWidth="1"/>
    <col min="3" max="3" width="19" bestFit="1" customWidth="1"/>
    <col min="4" max="4" width="16.44140625" bestFit="1" customWidth="1"/>
    <col min="5" max="6" width="10.44140625" bestFit="1" customWidth="1"/>
    <col min="7" max="7" width="10.44140625" customWidth="1"/>
    <col min="8" max="8" width="12.5546875" bestFit="1" customWidth="1"/>
    <col min="9" max="9" width="14.44140625" bestFit="1" customWidth="1"/>
    <col min="10" max="10" width="10.44140625" bestFit="1" customWidth="1"/>
    <col min="11" max="11" width="14.44140625" bestFit="1" customWidth="1"/>
    <col min="12" max="12" width="10.44140625" bestFit="1" customWidth="1"/>
    <col min="13" max="13" width="14.44140625" bestFit="1" customWidth="1"/>
    <col min="14" max="14" width="10.44140625" bestFit="1" customWidth="1"/>
    <col min="15" max="15" width="14.44140625" bestFit="1" customWidth="1"/>
    <col min="16" max="16" width="10.44140625" bestFit="1" customWidth="1"/>
    <col min="17" max="17" width="14.44140625" bestFit="1" customWidth="1"/>
    <col min="18" max="18" width="10.44140625" bestFit="1" customWidth="1"/>
    <col min="19" max="19" width="14.44140625" bestFit="1" customWidth="1"/>
    <col min="20" max="20" width="10.44140625" bestFit="1" customWidth="1"/>
    <col min="21" max="21" width="14.44140625" bestFit="1" customWidth="1"/>
    <col min="22" max="22" width="10.44140625" bestFit="1" customWidth="1"/>
    <col min="23" max="23" width="14.44140625" bestFit="1" customWidth="1"/>
    <col min="24" max="24" width="10.44140625" bestFit="1" customWidth="1"/>
    <col min="25" max="25" width="14.44140625" bestFit="1" customWidth="1"/>
    <col min="26" max="26" width="10.44140625" bestFit="1" customWidth="1"/>
    <col min="27" max="27" width="14.44140625" bestFit="1" customWidth="1"/>
    <col min="28" max="28" width="10.44140625" bestFit="1" customWidth="1"/>
    <col min="29" max="29" width="14.44140625" bestFit="1" customWidth="1"/>
    <col min="30" max="30" width="10.44140625" bestFit="1" customWidth="1"/>
    <col min="31" max="31" width="14.44140625" bestFit="1" customWidth="1"/>
    <col min="32" max="32" width="10.44140625" bestFit="1" customWidth="1"/>
    <col min="33" max="33" width="14.44140625" bestFit="1" customWidth="1"/>
    <col min="34" max="35" width="10.44140625" bestFit="1" customWidth="1"/>
  </cols>
  <sheetData>
    <row r="2" spans="1:35">
      <c r="D2" t="s">
        <v>365</v>
      </c>
    </row>
    <row r="3" spans="1:35">
      <c r="D3">
        <v>10</v>
      </c>
    </row>
    <row r="4" spans="1:35">
      <c r="D4" s="212">
        <v>45292</v>
      </c>
      <c r="E4" s="213"/>
      <c r="F4" s="213"/>
      <c r="G4" s="213"/>
      <c r="H4" s="214"/>
      <c r="I4" s="131">
        <f>D4+7</f>
        <v>45299</v>
      </c>
      <c r="J4" s="131">
        <f>F4+7</f>
        <v>7</v>
      </c>
      <c r="K4" s="131">
        <f t="shared" ref="K4:T5" si="0">I4+7</f>
        <v>45306</v>
      </c>
      <c r="L4" s="131">
        <f t="shared" si="0"/>
        <v>14</v>
      </c>
      <c r="M4" s="131">
        <f t="shared" si="0"/>
        <v>45313</v>
      </c>
      <c r="N4" s="131">
        <f t="shared" si="0"/>
        <v>21</v>
      </c>
      <c r="O4" s="131">
        <f t="shared" si="0"/>
        <v>45320</v>
      </c>
      <c r="P4" s="131">
        <f t="shared" si="0"/>
        <v>28</v>
      </c>
      <c r="Q4" s="131">
        <f t="shared" si="0"/>
        <v>45327</v>
      </c>
      <c r="R4" s="131">
        <f t="shared" si="0"/>
        <v>35</v>
      </c>
      <c r="S4" s="131">
        <f t="shared" si="0"/>
        <v>45334</v>
      </c>
      <c r="T4" s="131">
        <f t="shared" si="0"/>
        <v>42</v>
      </c>
      <c r="U4" s="131">
        <f t="shared" ref="U4:AD5" si="1">S4+7</f>
        <v>45341</v>
      </c>
      <c r="V4" s="131">
        <f t="shared" si="1"/>
        <v>49</v>
      </c>
      <c r="W4" s="131">
        <f t="shared" si="1"/>
        <v>45348</v>
      </c>
      <c r="X4" s="131">
        <f t="shared" si="1"/>
        <v>56</v>
      </c>
      <c r="Y4" s="131">
        <f t="shared" si="1"/>
        <v>45355</v>
      </c>
      <c r="Z4" s="131">
        <f t="shared" si="1"/>
        <v>63</v>
      </c>
      <c r="AA4" s="131">
        <f t="shared" si="1"/>
        <v>45362</v>
      </c>
      <c r="AB4" s="131">
        <f t="shared" si="1"/>
        <v>70</v>
      </c>
      <c r="AC4" s="131">
        <f t="shared" si="1"/>
        <v>45369</v>
      </c>
      <c r="AD4" s="131">
        <f t="shared" si="1"/>
        <v>77</v>
      </c>
      <c r="AE4" s="131">
        <f t="shared" ref="AE4:AI5" si="2">AC4+7</f>
        <v>45376</v>
      </c>
      <c r="AF4" s="131">
        <f t="shared" si="2"/>
        <v>84</v>
      </c>
      <c r="AG4" s="131">
        <f t="shared" si="2"/>
        <v>45383</v>
      </c>
      <c r="AH4" s="131">
        <f t="shared" si="2"/>
        <v>91</v>
      </c>
      <c r="AI4" s="131">
        <f t="shared" si="2"/>
        <v>45390</v>
      </c>
    </row>
    <row r="5" spans="1:35">
      <c r="D5" s="215">
        <v>45296</v>
      </c>
      <c r="E5" s="216"/>
      <c r="F5" s="216"/>
      <c r="G5" s="216"/>
      <c r="H5" s="217"/>
      <c r="I5" s="131">
        <f>D5+7</f>
        <v>45303</v>
      </c>
      <c r="J5" s="131">
        <f>F5+7</f>
        <v>7</v>
      </c>
      <c r="K5" s="131">
        <f t="shared" si="0"/>
        <v>45310</v>
      </c>
      <c r="L5" s="131">
        <f t="shared" si="0"/>
        <v>14</v>
      </c>
      <c r="M5" s="131">
        <f t="shared" si="0"/>
        <v>45317</v>
      </c>
      <c r="N5" s="131">
        <f t="shared" si="0"/>
        <v>21</v>
      </c>
      <c r="O5" s="131">
        <f t="shared" si="0"/>
        <v>45324</v>
      </c>
      <c r="P5" s="131">
        <f t="shared" si="0"/>
        <v>28</v>
      </c>
      <c r="Q5" s="131">
        <f t="shared" si="0"/>
        <v>45331</v>
      </c>
      <c r="R5" s="131">
        <f t="shared" si="0"/>
        <v>35</v>
      </c>
      <c r="S5" s="131">
        <f t="shared" si="0"/>
        <v>45338</v>
      </c>
      <c r="T5" s="131">
        <f t="shared" si="0"/>
        <v>42</v>
      </c>
      <c r="U5" s="131">
        <f t="shared" si="1"/>
        <v>45345</v>
      </c>
      <c r="V5" s="131">
        <f t="shared" si="1"/>
        <v>49</v>
      </c>
      <c r="W5" s="131">
        <f t="shared" si="1"/>
        <v>45352</v>
      </c>
      <c r="X5" s="131">
        <f t="shared" si="1"/>
        <v>56</v>
      </c>
      <c r="Y5" s="131">
        <f t="shared" si="1"/>
        <v>45359</v>
      </c>
      <c r="Z5" s="131">
        <f t="shared" si="1"/>
        <v>63</v>
      </c>
      <c r="AA5" s="131">
        <f t="shared" si="1"/>
        <v>45366</v>
      </c>
      <c r="AB5" s="131">
        <f t="shared" si="1"/>
        <v>70</v>
      </c>
      <c r="AC5" s="131">
        <f t="shared" si="1"/>
        <v>45373</v>
      </c>
      <c r="AD5" s="131">
        <f t="shared" si="1"/>
        <v>77</v>
      </c>
      <c r="AE5" s="131">
        <f t="shared" si="2"/>
        <v>45380</v>
      </c>
      <c r="AF5" s="131">
        <f t="shared" si="2"/>
        <v>84</v>
      </c>
      <c r="AG5" s="131">
        <f t="shared" si="2"/>
        <v>45387</v>
      </c>
      <c r="AH5" s="131">
        <f t="shared" si="2"/>
        <v>91</v>
      </c>
      <c r="AI5" s="131">
        <f t="shared" si="2"/>
        <v>45394</v>
      </c>
    </row>
    <row r="6" spans="1:35" s="99" customFormat="1">
      <c r="A6" s="99" t="s">
        <v>366</v>
      </c>
      <c r="B6" s="99" t="s">
        <v>367</v>
      </c>
      <c r="C6" s="99" t="s">
        <v>368</v>
      </c>
      <c r="D6" s="99" t="s">
        <v>357</v>
      </c>
      <c r="E6" s="99" t="s">
        <v>369</v>
      </c>
      <c r="F6" s="99" t="s">
        <v>125</v>
      </c>
      <c r="G6" s="99" t="s">
        <v>370</v>
      </c>
      <c r="H6" s="99" t="s">
        <v>371</v>
      </c>
      <c r="I6" s="99" t="s">
        <v>372</v>
      </c>
      <c r="J6" s="99" t="s">
        <v>125</v>
      </c>
      <c r="K6" s="99" t="s">
        <v>372</v>
      </c>
      <c r="L6" s="99" t="s">
        <v>125</v>
      </c>
      <c r="M6" s="99" t="s">
        <v>372</v>
      </c>
      <c r="N6" s="99" t="s">
        <v>125</v>
      </c>
      <c r="O6" s="99" t="s">
        <v>372</v>
      </c>
      <c r="P6" s="99" t="s">
        <v>125</v>
      </c>
      <c r="Q6" s="99" t="s">
        <v>372</v>
      </c>
      <c r="R6" s="99" t="s">
        <v>125</v>
      </c>
      <c r="S6" s="99" t="s">
        <v>372</v>
      </c>
      <c r="T6" s="99" t="s">
        <v>125</v>
      </c>
      <c r="U6" s="99" t="s">
        <v>372</v>
      </c>
      <c r="V6" s="99" t="s">
        <v>125</v>
      </c>
      <c r="W6" s="99" t="s">
        <v>372</v>
      </c>
      <c r="X6" s="99" t="s">
        <v>125</v>
      </c>
      <c r="Y6" s="99" t="s">
        <v>372</v>
      </c>
      <c r="Z6" s="99" t="s">
        <v>125</v>
      </c>
      <c r="AA6" s="99" t="s">
        <v>372</v>
      </c>
      <c r="AB6" s="99" t="s">
        <v>125</v>
      </c>
      <c r="AC6" s="99" t="s">
        <v>372</v>
      </c>
      <c r="AD6" s="99" t="s">
        <v>125</v>
      </c>
      <c r="AE6" s="99" t="s">
        <v>372</v>
      </c>
      <c r="AF6" s="99" t="s">
        <v>125</v>
      </c>
      <c r="AG6" s="99" t="s">
        <v>372</v>
      </c>
      <c r="AH6" s="99" t="s">
        <v>125</v>
      </c>
    </row>
    <row r="7" spans="1:35">
      <c r="C7">
        <v>1</v>
      </c>
      <c r="D7">
        <v>0</v>
      </c>
      <c r="E7">
        <v>5</v>
      </c>
      <c r="F7">
        <v>20</v>
      </c>
      <c r="G7">
        <f>C7*$D$3</f>
        <v>10</v>
      </c>
      <c r="H7">
        <f>D7+F7-G7</f>
        <v>10</v>
      </c>
    </row>
    <row r="8" spans="1:35">
      <c r="C8">
        <v>2</v>
      </c>
      <c r="D8">
        <v>0</v>
      </c>
      <c r="E8">
        <v>10</v>
      </c>
      <c r="F8">
        <v>0</v>
      </c>
      <c r="G8">
        <f t="shared" ref="G8:G10" si="3">C8*$D$3</f>
        <v>20</v>
      </c>
      <c r="H8">
        <f t="shared" ref="H8:H10" si="4">D8+F8-G8</f>
        <v>-20</v>
      </c>
    </row>
    <row r="9" spans="1:35">
      <c r="C9">
        <v>5</v>
      </c>
      <c r="G9">
        <f t="shared" si="3"/>
        <v>50</v>
      </c>
      <c r="H9">
        <f t="shared" si="4"/>
        <v>-50</v>
      </c>
    </row>
    <row r="10" spans="1:35">
      <c r="C10">
        <v>10</v>
      </c>
      <c r="G10">
        <f t="shared" si="3"/>
        <v>100</v>
      </c>
      <c r="H10">
        <f t="shared" si="4"/>
        <v>-100</v>
      </c>
    </row>
  </sheetData>
  <mergeCells count="2">
    <mergeCell ref="D4:H4"/>
    <mergeCell ref="D5:H5"/>
  </mergeCells>
  <conditionalFormatting sqref="H7:H10">
    <cfRule type="cellIs" dxfId="0" priority="1" operator="lessThan">
      <formula>0</formula>
    </cfRule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867EE-EFC6-47C2-A5CB-79FA4F40CE33}">
  <sheetPr>
    <pageSetUpPr fitToPage="1"/>
  </sheetPr>
  <dimension ref="A1:R288"/>
  <sheetViews>
    <sheetView zoomScale="80" zoomScaleNormal="80" workbookViewId="0">
      <selection activeCell="G31" sqref="G31"/>
    </sheetView>
  </sheetViews>
  <sheetFormatPr baseColWidth="10" defaultColWidth="11.44140625" defaultRowHeight="14.4"/>
  <cols>
    <col min="1" max="1" width="4.44140625" style="16" bestFit="1" customWidth="1"/>
    <col min="2" max="2" width="65.5546875" style="16" customWidth="1"/>
    <col min="3" max="3" width="13" style="9" bestFit="1" customWidth="1"/>
    <col min="4" max="4" width="13" style="9" customWidth="1"/>
    <col min="5" max="5" width="9.33203125" style="9" bestFit="1" customWidth="1"/>
    <col min="6" max="6" width="14" style="9" bestFit="1" customWidth="1"/>
    <col min="7" max="7" width="32.5546875" style="16" customWidth="1"/>
    <col min="8" max="8" width="11.5546875" style="9" bestFit="1" customWidth="1"/>
    <col min="9" max="9" width="4.44140625" style="16" bestFit="1" customWidth="1"/>
    <col min="10" max="10" width="13.44140625" style="17" customWidth="1"/>
    <col min="11" max="11" width="18.5546875" style="49" bestFit="1" customWidth="1"/>
    <col min="12" max="12" width="14.44140625" style="49" bestFit="1" customWidth="1"/>
    <col min="13" max="13" width="24" style="16" customWidth="1"/>
    <col min="14" max="14" width="17" style="16" bestFit="1" customWidth="1"/>
    <col min="15" max="15" width="20.44140625" style="40" customWidth="1"/>
    <col min="16" max="16" width="14" style="9" customWidth="1"/>
    <col min="17" max="17" width="255.5546875" style="16" bestFit="1" customWidth="1"/>
    <col min="18" max="18" width="14.5546875" style="16" bestFit="1" customWidth="1"/>
  </cols>
  <sheetData>
    <row r="1" spans="1:18">
      <c r="A1" s="230" t="s">
        <v>373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2"/>
    </row>
    <row r="2" spans="1:18" ht="15" customHeight="1">
      <c r="A2" s="233"/>
      <c r="B2" s="238"/>
      <c r="C2" s="238" t="s">
        <v>374</v>
      </c>
      <c r="D2" s="227" t="s">
        <v>72</v>
      </c>
      <c r="E2" s="227" t="s">
        <v>375</v>
      </c>
      <c r="F2" s="239" t="s">
        <v>358</v>
      </c>
      <c r="G2" s="240" t="s">
        <v>376</v>
      </c>
      <c r="H2" s="241" t="s">
        <v>377</v>
      </c>
      <c r="I2" s="241" t="s">
        <v>378</v>
      </c>
      <c r="J2" s="242" t="s">
        <v>379</v>
      </c>
      <c r="K2" s="221" t="s">
        <v>380</v>
      </c>
      <c r="L2" s="59"/>
      <c r="M2" s="218" t="s">
        <v>76</v>
      </c>
      <c r="N2" s="240" t="s">
        <v>91</v>
      </c>
      <c r="O2" s="244" t="s">
        <v>381</v>
      </c>
      <c r="P2" s="90"/>
      <c r="Q2" s="224" t="s">
        <v>382</v>
      </c>
      <c r="R2" s="243" t="s">
        <v>132</v>
      </c>
    </row>
    <row r="3" spans="1:18" ht="15" customHeight="1">
      <c r="A3" s="234"/>
      <c r="B3" s="238"/>
      <c r="C3" s="238"/>
      <c r="D3" s="228"/>
      <c r="E3" s="236"/>
      <c r="F3" s="239"/>
      <c r="G3" s="240"/>
      <c r="H3" s="241"/>
      <c r="I3" s="241"/>
      <c r="J3" s="242"/>
      <c r="K3" s="222"/>
      <c r="L3" s="60" t="s">
        <v>383</v>
      </c>
      <c r="M3" s="219"/>
      <c r="N3" s="240"/>
      <c r="O3" s="245"/>
      <c r="P3" s="91" t="s">
        <v>384</v>
      </c>
      <c r="Q3" s="225"/>
      <c r="R3" s="243"/>
    </row>
    <row r="4" spans="1:18" ht="15" customHeight="1">
      <c r="A4" s="235"/>
      <c r="B4" s="238"/>
      <c r="C4" s="238"/>
      <c r="D4" s="229"/>
      <c r="E4" s="237"/>
      <c r="F4" s="239"/>
      <c r="G4" s="240"/>
      <c r="H4" s="241"/>
      <c r="I4" s="241"/>
      <c r="J4" s="242"/>
      <c r="K4" s="223"/>
      <c r="L4" s="61"/>
      <c r="M4" s="220"/>
      <c r="N4" s="240"/>
      <c r="O4" s="246"/>
      <c r="P4" s="92"/>
      <c r="Q4" s="226"/>
      <c r="R4" s="243"/>
    </row>
    <row r="5" spans="1:18" ht="15" customHeight="1">
      <c r="B5" s="38"/>
      <c r="C5" s="38"/>
      <c r="D5" s="38"/>
      <c r="E5" s="38"/>
      <c r="F5" s="42"/>
      <c r="G5" s="43"/>
      <c r="H5" s="44"/>
      <c r="I5" s="44"/>
      <c r="J5" s="46"/>
      <c r="K5" s="47"/>
      <c r="L5" s="47"/>
      <c r="M5" s="43"/>
      <c r="N5" s="43"/>
      <c r="O5" s="182"/>
      <c r="P5" s="43"/>
      <c r="Q5" s="43"/>
      <c r="R5" s="43"/>
    </row>
    <row r="6" spans="1:18">
      <c r="A6" s="16">
        <v>1</v>
      </c>
      <c r="B6" s="16" t="s">
        <v>301</v>
      </c>
      <c r="C6" s="45" t="s">
        <v>385</v>
      </c>
      <c r="D6" s="45" t="s">
        <v>0</v>
      </c>
      <c r="E6" s="45" t="e">
        <f>SUMIF(#REF!,Normteile!C6,#REF!)</f>
        <v>#REF!</v>
      </c>
      <c r="F6" s="9" t="s">
        <v>386</v>
      </c>
      <c r="G6" s="17" t="s">
        <v>387</v>
      </c>
      <c r="H6" s="5" t="s">
        <v>388</v>
      </c>
      <c r="I6" s="5">
        <v>12</v>
      </c>
      <c r="J6" s="6" t="s">
        <v>389</v>
      </c>
      <c r="K6" s="48" t="s">
        <v>390</v>
      </c>
      <c r="L6" s="75">
        <f>IF(F6="Schraube",INDEX(Dropdown!$Q$5:$V$33,MATCH(Normteile!H6,Dropdown!$P$5:$P$33,0),MATCH(Normteile!K6,Dropdown!$Q$4:$V$4,0)),"-")</f>
        <v>4.18</v>
      </c>
      <c r="M6" s="16" t="s">
        <v>391</v>
      </c>
      <c r="N6" s="16" t="s">
        <v>175</v>
      </c>
      <c r="O6" s="183" t="s">
        <v>392</v>
      </c>
      <c r="P6" s="5" t="s">
        <v>43</v>
      </c>
      <c r="Q6" s="6" t="s">
        <v>393</v>
      </c>
      <c r="R6" s="5"/>
    </row>
    <row r="7" spans="1:18">
      <c r="A7" s="16">
        <v>2</v>
      </c>
      <c r="B7" s="16" t="s">
        <v>394</v>
      </c>
      <c r="C7" s="45" t="s">
        <v>395</v>
      </c>
      <c r="D7" s="45" t="s">
        <v>0</v>
      </c>
      <c r="E7" s="45" t="e">
        <f>SUMIF(#REF!,Normteile!C7,#REF!)</f>
        <v>#REF!</v>
      </c>
      <c r="F7" s="9" t="s">
        <v>386</v>
      </c>
      <c r="G7" s="17" t="s">
        <v>387</v>
      </c>
      <c r="H7" s="9" t="s">
        <v>396</v>
      </c>
      <c r="I7" s="16">
        <v>16</v>
      </c>
      <c r="J7" s="6" t="s">
        <v>389</v>
      </c>
      <c r="K7" s="48" t="s">
        <v>390</v>
      </c>
      <c r="L7" s="74">
        <f>IF(F7="Schraube",INDEX(Dropdown!$Q$5:$V$33,MATCH(Normteile!H7,Dropdown!$P$5:$P$33,0),MATCH(Normteile!K7,Dropdown!$Q$4:$V$4,0)),"-")</f>
        <v>8.48</v>
      </c>
      <c r="M7" s="16" t="s">
        <v>391</v>
      </c>
      <c r="N7" s="16" t="s">
        <v>175</v>
      </c>
      <c r="O7" s="40" t="s">
        <v>397</v>
      </c>
      <c r="P7" s="9" t="s">
        <v>43</v>
      </c>
      <c r="Q7" s="16" t="s">
        <v>398</v>
      </c>
    </row>
    <row r="8" spans="1:18">
      <c r="A8" s="16">
        <v>3</v>
      </c>
      <c r="B8" s="16" t="s">
        <v>259</v>
      </c>
      <c r="C8" s="45" t="s">
        <v>258</v>
      </c>
      <c r="D8" s="45">
        <v>91913988</v>
      </c>
      <c r="E8" s="45" t="e">
        <f>SUMIF(#REF!,Normteile!C8,#REF!)</f>
        <v>#REF!</v>
      </c>
      <c r="F8" s="9" t="s">
        <v>386</v>
      </c>
      <c r="G8" s="17" t="s">
        <v>387</v>
      </c>
      <c r="H8" s="9" t="s">
        <v>399</v>
      </c>
      <c r="I8" s="16">
        <v>16</v>
      </c>
      <c r="J8" s="6" t="s">
        <v>389</v>
      </c>
      <c r="K8" s="48" t="s">
        <v>390</v>
      </c>
      <c r="L8" s="74">
        <f>IF(F8="Schraube",INDEX(Dropdown!$Q$5:$V$33,MATCH(Normteile!H8,Dropdown!$P$5:$P$33,0),MATCH(Normteile!K8,Dropdown!$Q$4:$V$4,0)),"-")</f>
        <v>14.41</v>
      </c>
      <c r="M8" s="16" t="s">
        <v>391</v>
      </c>
      <c r="N8" s="16" t="s">
        <v>175</v>
      </c>
      <c r="O8" s="40" t="s">
        <v>400</v>
      </c>
      <c r="P8" s="9">
        <v>6.0000000000000001E-3</v>
      </c>
      <c r="Q8" s="76" t="s">
        <v>401</v>
      </c>
    </row>
    <row r="9" spans="1:18">
      <c r="A9" s="16">
        <v>4</v>
      </c>
      <c r="B9" s="16" t="s">
        <v>161</v>
      </c>
      <c r="C9" s="45" t="s">
        <v>402</v>
      </c>
      <c r="D9" s="45">
        <v>91908668</v>
      </c>
      <c r="E9" s="45" t="e">
        <f>SUMIF(#REF!,Normteile!C9,#REF!)</f>
        <v>#REF!</v>
      </c>
      <c r="F9" s="9" t="s">
        <v>386</v>
      </c>
      <c r="G9" s="17" t="s">
        <v>387</v>
      </c>
      <c r="H9" s="9" t="s">
        <v>403</v>
      </c>
      <c r="I9" s="16">
        <v>25</v>
      </c>
      <c r="J9" s="6" t="s">
        <v>389</v>
      </c>
      <c r="K9" s="48" t="s">
        <v>390</v>
      </c>
      <c r="L9" s="74">
        <f>IF(F9="Schraube",INDEX(Dropdown!$Q$5:$V$33,MATCH(Normteile!H9,Dropdown!$P$5:$P$33,0),MATCH(Normteile!K9,Dropdown!$Q$4:$V$4,0)),"-")</f>
        <v>35.06</v>
      </c>
      <c r="M9" s="16" t="s">
        <v>391</v>
      </c>
      <c r="N9" s="16" t="s">
        <v>175</v>
      </c>
      <c r="O9" s="40" t="s">
        <v>404</v>
      </c>
      <c r="P9" s="9">
        <v>1.4999999999999999E-2</v>
      </c>
      <c r="Q9" s="76" t="s">
        <v>401</v>
      </c>
    </row>
    <row r="10" spans="1:18">
      <c r="A10" s="16">
        <v>5</v>
      </c>
      <c r="B10" s="16" t="s">
        <v>405</v>
      </c>
      <c r="C10" s="45" t="s">
        <v>406</v>
      </c>
      <c r="D10" s="45" t="s">
        <v>0</v>
      </c>
      <c r="E10" s="45" t="e">
        <f>SUMIF(#REF!,Normteile!C10,#REF!)</f>
        <v>#REF!</v>
      </c>
      <c r="F10" s="9" t="s">
        <v>407</v>
      </c>
      <c r="G10" s="16" t="s">
        <v>408</v>
      </c>
      <c r="H10" s="9" t="s">
        <v>399</v>
      </c>
      <c r="L10" s="74" t="str">
        <f>IF(F10="Schraube",INDEX(Dropdown!$Q$5:$V$33,MATCH(Normteile!H10,Dropdown!$P$5:$P$33,0),MATCH(Normteile!K10,Dropdown!$Q$4:$V$4,0)),"-")</f>
        <v>-</v>
      </c>
      <c r="M10" s="16" t="s">
        <v>391</v>
      </c>
      <c r="N10" s="16" t="s">
        <v>407</v>
      </c>
      <c r="O10" s="40">
        <v>62606</v>
      </c>
      <c r="P10" s="9" t="s">
        <v>43</v>
      </c>
      <c r="Q10" s="76" t="s">
        <v>409</v>
      </c>
      <c r="R10" s="16" t="s">
        <v>410</v>
      </c>
    </row>
    <row r="11" spans="1:18">
      <c r="A11" s="16">
        <v>6</v>
      </c>
      <c r="B11" s="16" t="s">
        <v>411</v>
      </c>
      <c r="C11" s="45" t="s">
        <v>412</v>
      </c>
      <c r="D11" s="45" t="s">
        <v>0</v>
      </c>
      <c r="E11" s="45" t="e">
        <f>SUMIF(#REF!,Normteile!C11,#REF!)</f>
        <v>#REF!</v>
      </c>
      <c r="F11" s="9" t="s">
        <v>413</v>
      </c>
      <c r="G11" s="16" t="s">
        <v>414</v>
      </c>
      <c r="L11" s="74" t="str">
        <f>IF(F11="Schraube",INDEX(Dropdown!$Q$5:$V$33,MATCH(Normteile!H11,Dropdown!$P$5:$P$33,0),MATCH(Normteile!K11,Dropdown!$Q$4:$V$4,0)),"-")</f>
        <v>-</v>
      </c>
      <c r="N11" s="16" t="s">
        <v>413</v>
      </c>
      <c r="P11" s="9" t="s">
        <v>43</v>
      </c>
      <c r="Q11" s="16" t="s">
        <v>415</v>
      </c>
    </row>
    <row r="12" spans="1:18">
      <c r="A12" s="16">
        <v>7</v>
      </c>
      <c r="B12" s="16" t="s">
        <v>330</v>
      </c>
      <c r="C12" s="45" t="s">
        <v>416</v>
      </c>
      <c r="D12" s="45" t="s">
        <v>0</v>
      </c>
      <c r="E12" s="45" t="e">
        <f>SUMIF(#REF!,Normteile!C12,#REF!)</f>
        <v>#REF!</v>
      </c>
      <c r="F12" s="9" t="s">
        <v>386</v>
      </c>
      <c r="G12" s="16" t="s">
        <v>417</v>
      </c>
      <c r="H12" s="9" t="s">
        <v>396</v>
      </c>
      <c r="I12" s="16">
        <v>10</v>
      </c>
      <c r="J12" s="17" t="s">
        <v>418</v>
      </c>
      <c r="L12" s="74" t="e">
        <f>IF(F12="Schraube",INDEX(Dropdown!$Q$5:$V$33,MATCH(Normteile!H12,Dropdown!$P$5:$P$33,0),MATCH(Normteile!K12,Dropdown!$Q$4:$V$4,0)),"-")</f>
        <v>#N/A</v>
      </c>
      <c r="P12" s="9">
        <v>6.0000000000000001E-3</v>
      </c>
    </row>
    <row r="13" spans="1:18">
      <c r="A13" s="16">
        <v>8</v>
      </c>
      <c r="B13" s="16" t="s">
        <v>46</v>
      </c>
      <c r="C13" s="45" t="s">
        <v>419</v>
      </c>
      <c r="D13" s="45">
        <v>91946427</v>
      </c>
      <c r="E13" s="45" t="e">
        <f>SUMIF(#REF!,Normteile!C13,#REF!)</f>
        <v>#REF!</v>
      </c>
      <c r="F13" s="9" t="s">
        <v>386</v>
      </c>
      <c r="G13" s="16" t="s">
        <v>417</v>
      </c>
      <c r="H13" s="9" t="s">
        <v>399</v>
      </c>
      <c r="I13" s="16">
        <v>30</v>
      </c>
      <c r="J13" s="17" t="s">
        <v>418</v>
      </c>
      <c r="L13" s="74" t="e">
        <f>IF(F13="Schraube",INDEX(Dropdown!$Q$5:$V$33,MATCH(Normteile!H13,Dropdown!$P$5:$P$33,0),MATCH(Normteile!K13,Dropdown!$Q$4:$V$4,0)),"-")</f>
        <v>#N/A</v>
      </c>
      <c r="N13" s="16" t="s">
        <v>420</v>
      </c>
      <c r="O13" s="188" t="s">
        <v>421</v>
      </c>
      <c r="P13" s="9">
        <v>1.9E-2</v>
      </c>
      <c r="Q13" s="76" t="s">
        <v>422</v>
      </c>
    </row>
    <row r="14" spans="1:18">
      <c r="A14" s="16">
        <v>9</v>
      </c>
      <c r="B14" s="16" t="s">
        <v>423</v>
      </c>
      <c r="C14" s="45" t="s">
        <v>424</v>
      </c>
      <c r="D14" s="45" t="s">
        <v>0</v>
      </c>
      <c r="E14" s="45" t="e">
        <f>SUMIF(#REF!,Normteile!C14,#REF!)</f>
        <v>#REF!</v>
      </c>
      <c r="F14" s="9" t="s">
        <v>386</v>
      </c>
      <c r="G14" s="16" t="s">
        <v>425</v>
      </c>
      <c r="H14" s="9" t="s">
        <v>426</v>
      </c>
      <c r="I14" s="16">
        <v>20</v>
      </c>
      <c r="J14" s="17" t="s">
        <v>427</v>
      </c>
      <c r="L14" s="74" t="e">
        <f>IF(F14="Schraube",INDEX(Dropdown!$Q$5:$V$33,MATCH(Normteile!H14,Dropdown!$P$5:$P$33,0),MATCH(Normteile!K14,Dropdown!$Q$4:$V$4,0)),"-")</f>
        <v>#N/A</v>
      </c>
      <c r="N14" s="16" t="s">
        <v>175</v>
      </c>
      <c r="O14" s="188" t="s">
        <v>428</v>
      </c>
      <c r="P14" s="9" t="s">
        <v>43</v>
      </c>
      <c r="Q14" s="16" t="s">
        <v>429</v>
      </c>
    </row>
    <row r="15" spans="1:18">
      <c r="A15" s="16">
        <v>10</v>
      </c>
      <c r="B15" s="16" t="s">
        <v>52</v>
      </c>
      <c r="C15" s="45" t="s">
        <v>309</v>
      </c>
      <c r="D15" s="45">
        <v>91908676</v>
      </c>
      <c r="E15" s="45" t="e">
        <f>SUMIF(#REF!,Normteile!C15,#REF!)</f>
        <v>#REF!</v>
      </c>
      <c r="F15" s="9" t="s">
        <v>430</v>
      </c>
      <c r="H15" s="9" t="s">
        <v>426</v>
      </c>
      <c r="J15" s="17" t="s">
        <v>352</v>
      </c>
      <c r="L15" s="74" t="str">
        <f>IF(F15="Schraube",INDEX(Dropdown!$Q$5:$V$33,MATCH(Normteile!H15,Dropdown!$P$5:$P$33,0),MATCH(Normteile!K15,Dropdown!$Q$4:$V$4,0)),"-")</f>
        <v>-</v>
      </c>
      <c r="M15" s="16" t="s">
        <v>391</v>
      </c>
      <c r="N15" s="16" t="s">
        <v>175</v>
      </c>
      <c r="O15" s="188" t="s">
        <v>431</v>
      </c>
      <c r="P15" s="9">
        <v>4.0000000000000001E-3</v>
      </c>
      <c r="Q15" s="16" t="s">
        <v>432</v>
      </c>
    </row>
    <row r="16" spans="1:18">
      <c r="A16" s="16">
        <v>11</v>
      </c>
      <c r="B16" s="16" t="s">
        <v>48</v>
      </c>
      <c r="C16" s="45" t="s">
        <v>31</v>
      </c>
      <c r="D16" s="45">
        <v>91908679</v>
      </c>
      <c r="E16" s="45" t="e">
        <f>SUMIF(#REF!,Normteile!C16,#REF!)</f>
        <v>#REF!</v>
      </c>
      <c r="F16" s="9" t="s">
        <v>430</v>
      </c>
      <c r="H16" s="9" t="s">
        <v>426</v>
      </c>
      <c r="J16" s="17" t="s">
        <v>433</v>
      </c>
      <c r="L16" s="74" t="str">
        <f>IF(F16="Schraube",INDEX(Dropdown!$Q$5:$V$33,MATCH(Normteile!H16,Dropdown!$P$5:$P$33,0),MATCH(Normteile!K16,Dropdown!$Q$4:$V$4,0)),"-")</f>
        <v>-</v>
      </c>
      <c r="M16" s="16" t="s">
        <v>391</v>
      </c>
      <c r="N16" s="16" t="s">
        <v>175</v>
      </c>
      <c r="O16" s="188" t="s">
        <v>434</v>
      </c>
      <c r="P16" s="9">
        <v>1.2E-2</v>
      </c>
      <c r="Q16" s="16" t="s">
        <v>435</v>
      </c>
    </row>
    <row r="17" spans="1:18">
      <c r="A17" s="16">
        <v>12</v>
      </c>
      <c r="B17" s="16" t="s">
        <v>436</v>
      </c>
      <c r="C17" s="45" t="s">
        <v>437</v>
      </c>
      <c r="D17" s="45" t="s">
        <v>0</v>
      </c>
      <c r="E17" s="45" t="e">
        <f>SUMIF(#REF!,Normteile!C17,#REF!)</f>
        <v>#REF!</v>
      </c>
      <c r="F17" s="9" t="s">
        <v>430</v>
      </c>
      <c r="H17" s="9" t="s">
        <v>438</v>
      </c>
      <c r="J17" s="17" t="s">
        <v>352</v>
      </c>
      <c r="L17" s="74" t="str">
        <f>IF(F17="Schraube",INDEX(Dropdown!$Q$5:$V$33,MATCH(Normteile!H17,Dropdown!$P$5:$P$33,0),MATCH(Normteile!K17,Dropdown!$Q$4:$V$4,0)),"-")</f>
        <v>-</v>
      </c>
      <c r="M17" s="16" t="s">
        <v>391</v>
      </c>
      <c r="N17" s="16" t="s">
        <v>175</v>
      </c>
      <c r="O17" s="188" t="s">
        <v>439</v>
      </c>
      <c r="P17" s="9" t="s">
        <v>43</v>
      </c>
      <c r="Q17" s="16" t="s">
        <v>440</v>
      </c>
    </row>
    <row r="18" spans="1:18">
      <c r="A18" s="16">
        <v>13</v>
      </c>
      <c r="B18" s="16" t="s">
        <v>56</v>
      </c>
      <c r="C18" s="45" t="s">
        <v>229</v>
      </c>
      <c r="D18" s="45">
        <v>91908657</v>
      </c>
      <c r="E18" s="45" t="e">
        <f>SUMIF(#REF!,Normteile!C18,#REF!)</f>
        <v>#REF!</v>
      </c>
      <c r="F18" s="9" t="s">
        <v>430</v>
      </c>
      <c r="H18" s="9" t="s">
        <v>396</v>
      </c>
      <c r="J18" s="17" t="s">
        <v>352</v>
      </c>
      <c r="L18" s="74" t="str">
        <f>IF(F18="Schraube",INDEX(Dropdown!$Q$5:$V$33,MATCH(Normteile!H18,Dropdown!$P$5:$P$33,0),MATCH(Normteile!K18,Dropdown!$Q$4:$V$4,0)),"-")</f>
        <v>-</v>
      </c>
      <c r="M18" s="16" t="s">
        <v>391</v>
      </c>
      <c r="N18" s="16" t="s">
        <v>175</v>
      </c>
      <c r="O18" s="188" t="s">
        <v>441</v>
      </c>
      <c r="P18" s="9">
        <v>4.4339999999999999E-4</v>
      </c>
      <c r="Q18" s="76" t="s">
        <v>442</v>
      </c>
    </row>
    <row r="19" spans="1:18">
      <c r="A19" s="16">
        <v>14</v>
      </c>
      <c r="B19" s="16" t="s">
        <v>63</v>
      </c>
      <c r="C19" s="45" t="s">
        <v>202</v>
      </c>
      <c r="D19" s="45">
        <v>91908690</v>
      </c>
      <c r="E19" s="45" t="e">
        <f>SUMIF(#REF!,Normteile!C19,#REF!)</f>
        <v>#REF!</v>
      </c>
      <c r="F19" s="9" t="s">
        <v>430</v>
      </c>
      <c r="H19" s="9" t="s">
        <v>399</v>
      </c>
      <c r="J19" s="17" t="s">
        <v>352</v>
      </c>
      <c r="L19" s="74" t="str">
        <f>IF(F19="Schraube",INDEX(Dropdown!$Q$5:$V$33,MATCH(Normteile!H19,Dropdown!$P$5:$P$33,0),MATCH(Normteile!K19,Dropdown!$Q$4:$V$4,0)),"-")</f>
        <v>-</v>
      </c>
      <c r="M19" s="16" t="s">
        <v>391</v>
      </c>
      <c r="N19" s="16" t="s">
        <v>175</v>
      </c>
      <c r="O19" s="188" t="s">
        <v>443</v>
      </c>
      <c r="P19" s="9">
        <v>1E-3</v>
      </c>
      <c r="Q19" s="16" t="s">
        <v>444</v>
      </c>
    </row>
    <row r="20" spans="1:18">
      <c r="A20" s="16">
        <v>15</v>
      </c>
      <c r="B20" s="16" t="s">
        <v>445</v>
      </c>
      <c r="C20" s="45" t="s">
        <v>446</v>
      </c>
      <c r="D20" s="45" t="s">
        <v>0</v>
      </c>
      <c r="E20" s="45" t="e">
        <f>SUMIF(#REF!,Normteile!C20,#REF!)</f>
        <v>#REF!</v>
      </c>
      <c r="F20" s="9" t="s">
        <v>430</v>
      </c>
      <c r="H20" s="9" t="s">
        <v>399</v>
      </c>
      <c r="J20" s="17" t="s">
        <v>433</v>
      </c>
      <c r="L20" s="74" t="str">
        <f>IF(F20="Schraube",INDEX(Dropdown!$Q$5:$V$33,MATCH(Normteile!H20,Dropdown!$P$5:$P$33,0),MATCH(Normteile!K20,Dropdown!$Q$4:$V$4,0)),"-")</f>
        <v>-</v>
      </c>
      <c r="M20" s="16" t="s">
        <v>391</v>
      </c>
      <c r="N20" s="16" t="s">
        <v>175</v>
      </c>
      <c r="O20" s="188" t="s">
        <v>447</v>
      </c>
      <c r="P20" s="9" t="s">
        <v>43</v>
      </c>
      <c r="Q20" s="16" t="s">
        <v>448</v>
      </c>
    </row>
    <row r="21" spans="1:18">
      <c r="A21" s="16">
        <v>16</v>
      </c>
      <c r="B21" s="16" t="s">
        <v>8</v>
      </c>
      <c r="C21" s="45" t="s">
        <v>9</v>
      </c>
      <c r="D21" s="45">
        <v>91908654</v>
      </c>
      <c r="E21" s="45" t="e">
        <f>SUMIF(#REF!,Normteile!C21,#REF!)</f>
        <v>#REF!</v>
      </c>
      <c r="F21" s="9" t="s">
        <v>430</v>
      </c>
      <c r="H21" s="9" t="s">
        <v>403</v>
      </c>
      <c r="J21" s="17" t="s">
        <v>352</v>
      </c>
      <c r="L21" s="74" t="str">
        <f>IF(F21="Schraube",INDEX(Dropdown!$Q$5:$V$33,MATCH(Normteile!H21,Dropdown!$P$5:$P$33,0),MATCH(Normteile!K21,Dropdown!$Q$4:$V$4,0)),"-")</f>
        <v>-</v>
      </c>
      <c r="M21" s="16" t="s">
        <v>391</v>
      </c>
      <c r="N21" s="16" t="s">
        <v>175</v>
      </c>
      <c r="O21" s="188" t="s">
        <v>449</v>
      </c>
      <c r="P21" s="9">
        <v>2E-3</v>
      </c>
      <c r="Q21" s="16" t="s">
        <v>450</v>
      </c>
    </row>
    <row r="22" spans="1:18">
      <c r="A22" s="16">
        <v>17</v>
      </c>
      <c r="B22" s="16" t="s">
        <v>53</v>
      </c>
      <c r="C22" s="45" t="s">
        <v>150</v>
      </c>
      <c r="D22" s="45">
        <v>91913974</v>
      </c>
      <c r="E22" s="45" t="e">
        <f>SUMIF(#REF!,Normteile!C22,#REF!)</f>
        <v>#REF!</v>
      </c>
      <c r="F22" s="9" t="s">
        <v>430</v>
      </c>
      <c r="H22" s="9" t="s">
        <v>403</v>
      </c>
      <c r="J22" s="17" t="s">
        <v>433</v>
      </c>
      <c r="L22" s="74" t="str">
        <f>IF(F22="Schraube",INDEX(Dropdown!$Q$5:$V$33,MATCH(Normteile!H22,Dropdown!$P$5:$P$33,0),MATCH(Normteile!K22,Dropdown!$Q$4:$V$4,0)),"-")</f>
        <v>-</v>
      </c>
      <c r="M22" s="16" t="s">
        <v>391</v>
      </c>
      <c r="N22" s="16" t="s">
        <v>175</v>
      </c>
      <c r="O22" s="188" t="s">
        <v>451</v>
      </c>
      <c r="P22" s="9">
        <v>6.0000000000000001E-3</v>
      </c>
      <c r="Q22" s="76" t="s">
        <v>452</v>
      </c>
    </row>
    <row r="23" spans="1:18" s="80" customFormat="1">
      <c r="A23" s="16">
        <v>18</v>
      </c>
      <c r="B23" s="84"/>
      <c r="C23" s="85"/>
      <c r="D23" s="45">
        <v>0</v>
      </c>
      <c r="E23" s="85"/>
      <c r="F23" s="86"/>
      <c r="G23" s="84"/>
      <c r="H23" s="86"/>
      <c r="I23" s="84"/>
      <c r="J23" s="87"/>
      <c r="K23" s="88"/>
      <c r="L23" s="84"/>
      <c r="M23" s="84"/>
      <c r="N23" s="84"/>
      <c r="O23" s="184"/>
      <c r="P23" s="86"/>
      <c r="Q23" s="84"/>
      <c r="R23" s="84"/>
    </row>
    <row r="24" spans="1:18">
      <c r="A24" s="16">
        <v>19</v>
      </c>
      <c r="B24" s="16" t="s">
        <v>315</v>
      </c>
      <c r="C24" s="45" t="s">
        <v>453</v>
      </c>
      <c r="D24" s="45">
        <v>91908677</v>
      </c>
      <c r="E24" s="45" t="e">
        <f>SUMIF(#REF!,Normteile!C24,#REF!)</f>
        <v>#REF!</v>
      </c>
      <c r="F24" s="9" t="s">
        <v>454</v>
      </c>
      <c r="G24" s="16" t="s">
        <v>455</v>
      </c>
      <c r="H24" s="9" t="s">
        <v>426</v>
      </c>
      <c r="J24" s="17" t="s">
        <v>456</v>
      </c>
      <c r="K24" s="7" t="s">
        <v>129</v>
      </c>
      <c r="L24" s="74" t="str">
        <f>IF(F24="Schraube",INDEX(Dropdown!$Q$5:$V$33,MATCH(Normteile!H24,Dropdown!$P$5:$P$33,0),MATCH(Normteile!K24,Dropdown!$Q$4:$V$4,0)),"-")</f>
        <v>-</v>
      </c>
      <c r="M24" s="16" t="s">
        <v>391</v>
      </c>
      <c r="N24" s="16" t="s">
        <v>175</v>
      </c>
      <c r="O24" s="188" t="s">
        <v>457</v>
      </c>
      <c r="P24" s="9" t="s">
        <v>43</v>
      </c>
      <c r="Q24" s="16" t="s">
        <v>458</v>
      </c>
    </row>
    <row r="25" spans="1:18">
      <c r="A25" s="16">
        <v>20</v>
      </c>
      <c r="B25" s="16" t="s">
        <v>459</v>
      </c>
      <c r="C25" s="45" t="s">
        <v>460</v>
      </c>
      <c r="D25" s="45" t="s">
        <v>0</v>
      </c>
      <c r="E25" s="45" t="e">
        <f>SUMIF(#REF!,Normteile!C25,#REF!)</f>
        <v>#REF!</v>
      </c>
      <c r="F25" s="9" t="s">
        <v>454</v>
      </c>
      <c r="G25" s="16" t="s">
        <v>461</v>
      </c>
      <c r="H25" s="9" t="s">
        <v>399</v>
      </c>
      <c r="J25" s="17" t="s">
        <v>462</v>
      </c>
      <c r="K25" s="7" t="s">
        <v>129</v>
      </c>
      <c r="L25" s="74" t="str">
        <f>IF(F25="Schraube",INDEX(Dropdown!$Q$5:$V$33,MATCH(Normteile!H25,Dropdown!$P$5:$P$33,0),MATCH(Normteile!K25,Dropdown!$Q$4:$V$4,0)),"-")</f>
        <v>-</v>
      </c>
      <c r="M25" s="16" t="s">
        <v>391</v>
      </c>
      <c r="N25" s="16" t="s">
        <v>175</v>
      </c>
      <c r="O25" s="188" t="s">
        <v>463</v>
      </c>
      <c r="P25" s="9" t="s">
        <v>43</v>
      </c>
      <c r="Q25" s="16" t="s">
        <v>464</v>
      </c>
    </row>
    <row r="26" spans="1:18">
      <c r="A26" s="16">
        <v>21</v>
      </c>
      <c r="B26" s="16" t="s">
        <v>71</v>
      </c>
      <c r="C26" s="45" t="s">
        <v>465</v>
      </c>
      <c r="D26" s="45" t="s">
        <v>0</v>
      </c>
      <c r="E26" s="45" t="e">
        <f>SUMIF(#REF!,Normteile!C26,#REF!)</f>
        <v>#REF!</v>
      </c>
      <c r="F26" s="9" t="s">
        <v>454</v>
      </c>
      <c r="G26" s="16" t="s">
        <v>455</v>
      </c>
      <c r="H26" s="9" t="s">
        <v>388</v>
      </c>
      <c r="J26" s="17" t="s">
        <v>456</v>
      </c>
      <c r="K26" s="7" t="s">
        <v>466</v>
      </c>
      <c r="L26" s="74" t="str">
        <f>IF(F26="Schraube",INDEX(Dropdown!$Q$5:$V$33,MATCH(Normteile!H26,Dropdown!$P$5:$P$33,0),MATCH(Normteile!K26,Dropdown!$Q$4:$V$4,0)),"-")</f>
        <v>-</v>
      </c>
      <c r="M26" s="16" t="s">
        <v>391</v>
      </c>
      <c r="N26" s="16" t="s">
        <v>175</v>
      </c>
      <c r="O26" s="188" t="s">
        <v>467</v>
      </c>
      <c r="P26" s="9">
        <v>8.5280000000000002E-4</v>
      </c>
      <c r="Q26" s="16" t="s">
        <v>468</v>
      </c>
    </row>
    <row r="27" spans="1:18">
      <c r="A27" s="16">
        <v>22</v>
      </c>
      <c r="B27" s="16" t="s">
        <v>331</v>
      </c>
      <c r="C27" s="45" t="s">
        <v>469</v>
      </c>
      <c r="D27" s="45" t="s">
        <v>0</v>
      </c>
      <c r="E27" s="45" t="e">
        <f>SUMIF(#REF!,Normteile!C27,#REF!)</f>
        <v>#REF!</v>
      </c>
      <c r="F27" s="9" t="s">
        <v>454</v>
      </c>
      <c r="G27" s="16" t="s">
        <v>461</v>
      </c>
      <c r="H27" s="9" t="s">
        <v>396</v>
      </c>
      <c r="J27" s="17" t="s">
        <v>462</v>
      </c>
      <c r="K27" s="7" t="s">
        <v>466</v>
      </c>
      <c r="L27" s="74" t="str">
        <f>IF(F27="Schraube",INDEX(Dropdown!$Q$5:$V$33,MATCH(Normteile!H27,Dropdown!$P$5:$P$33,0),MATCH(Normteile!K27,Dropdown!$Q$4:$V$4,0)),"-")</f>
        <v>-</v>
      </c>
      <c r="M27" s="16" t="s">
        <v>391</v>
      </c>
      <c r="N27" s="16" t="s">
        <v>175</v>
      </c>
      <c r="O27" s="188" t="s">
        <v>470</v>
      </c>
      <c r="P27" s="9">
        <v>2E-3</v>
      </c>
      <c r="Q27" s="16" t="s">
        <v>471</v>
      </c>
    </row>
    <row r="28" spans="1:18">
      <c r="A28" s="16">
        <v>23</v>
      </c>
      <c r="B28" s="16" t="s">
        <v>59</v>
      </c>
      <c r="C28" s="45" t="s">
        <v>472</v>
      </c>
      <c r="D28" s="45">
        <v>91914015</v>
      </c>
      <c r="E28" s="45" t="e">
        <f>SUMIF(#REF!,Normteile!C28,#REF!)</f>
        <v>#REF!</v>
      </c>
      <c r="F28" s="9" t="s">
        <v>454</v>
      </c>
      <c r="G28" s="16" t="s">
        <v>455</v>
      </c>
      <c r="H28" s="9" t="s">
        <v>396</v>
      </c>
      <c r="J28" s="17" t="s">
        <v>456</v>
      </c>
      <c r="K28" s="7" t="s">
        <v>466</v>
      </c>
      <c r="L28" s="74" t="str">
        <f>IF(F28="Schraube",INDEX(Dropdown!$Q$5:$V$33,MATCH(Normteile!H28,Dropdown!$P$5:$P$33,0),MATCH(Normteile!K28,Dropdown!$Q$4:$V$4,0)),"-")</f>
        <v>-</v>
      </c>
      <c r="M28" s="16" t="s">
        <v>391</v>
      </c>
      <c r="N28" s="16" t="s">
        <v>175</v>
      </c>
      <c r="O28" s="188" t="s">
        <v>473</v>
      </c>
      <c r="P28" s="9">
        <v>2E-3</v>
      </c>
      <c r="Q28" s="16" t="s">
        <v>474</v>
      </c>
    </row>
    <row r="29" spans="1:18">
      <c r="A29" s="16">
        <v>24</v>
      </c>
      <c r="B29" s="16" t="s">
        <v>57</v>
      </c>
      <c r="C29" s="45" t="s">
        <v>475</v>
      </c>
      <c r="D29" s="45">
        <v>91946429</v>
      </c>
      <c r="E29" s="45" t="e">
        <f>SUMIF(#REF!,Normteile!C29,#REF!)</f>
        <v>#REF!</v>
      </c>
      <c r="F29" s="9" t="s">
        <v>454</v>
      </c>
      <c r="G29" s="16" t="s">
        <v>461</v>
      </c>
      <c r="H29" s="9" t="s">
        <v>399</v>
      </c>
      <c r="J29" s="17" t="s">
        <v>462</v>
      </c>
      <c r="K29" s="7" t="s">
        <v>466</v>
      </c>
      <c r="L29" s="74" t="str">
        <f>IF(F29="Schraube",INDEX(Dropdown!$Q$5:$V$33,MATCH(Normteile!H29,Dropdown!$P$5:$P$33,0),MATCH(Normteile!K29,Dropdown!$Q$4:$V$4,0)),"-")</f>
        <v>-</v>
      </c>
      <c r="M29" s="16" t="s">
        <v>391</v>
      </c>
      <c r="N29" s="16" t="s">
        <v>175</v>
      </c>
      <c r="O29" s="188" t="s">
        <v>476</v>
      </c>
      <c r="P29" s="9">
        <v>3.0000000000000001E-3</v>
      </c>
      <c r="Q29" s="16" t="s">
        <v>477</v>
      </c>
    </row>
    <row r="30" spans="1:18">
      <c r="A30" s="16">
        <v>25</v>
      </c>
      <c r="B30" s="16" t="s">
        <v>478</v>
      </c>
      <c r="C30" s="45" t="s">
        <v>479</v>
      </c>
      <c r="D30" s="45" t="s">
        <v>0</v>
      </c>
      <c r="E30" s="45" t="e">
        <f>SUMIF(#REF!,Normteile!C30,#REF!)</f>
        <v>#REF!</v>
      </c>
      <c r="F30" s="9" t="s">
        <v>454</v>
      </c>
      <c r="G30" s="16" t="s">
        <v>455</v>
      </c>
      <c r="H30" s="9" t="s">
        <v>399</v>
      </c>
      <c r="J30" s="17" t="s">
        <v>456</v>
      </c>
      <c r="K30" s="7" t="s">
        <v>129</v>
      </c>
      <c r="L30" s="74" t="str">
        <f>IF(F30="Schraube",INDEX(Dropdown!$Q$5:$V$33,MATCH(Normteile!H30,Dropdown!$P$5:$P$33,0),MATCH(Normteile!K30,Dropdown!$Q$4:$V$4,0)),"-")</f>
        <v>-</v>
      </c>
      <c r="M30" s="16" t="s">
        <v>391</v>
      </c>
      <c r="N30" s="16" t="s">
        <v>175</v>
      </c>
      <c r="O30" s="188" t="s">
        <v>480</v>
      </c>
      <c r="P30" s="9" t="s">
        <v>43</v>
      </c>
      <c r="Q30" s="16" t="s">
        <v>481</v>
      </c>
    </row>
    <row r="31" spans="1:18">
      <c r="A31" s="16">
        <v>26</v>
      </c>
      <c r="B31" s="16" t="s">
        <v>12</v>
      </c>
      <c r="C31" s="45" t="s">
        <v>13</v>
      </c>
      <c r="D31" s="45">
        <v>91913977</v>
      </c>
      <c r="E31" s="45" t="e">
        <f>SUMIF(#REF!,Normteile!C31,#REF!)</f>
        <v>#REF!</v>
      </c>
      <c r="F31" s="9" t="s">
        <v>454</v>
      </c>
      <c r="G31" s="16" t="s">
        <v>455</v>
      </c>
      <c r="H31" s="9" t="s">
        <v>403</v>
      </c>
      <c r="J31" s="17" t="s">
        <v>462</v>
      </c>
      <c r="K31" s="49" t="s">
        <v>466</v>
      </c>
      <c r="L31" s="74" t="str">
        <f>IF(F31="Schraube",INDEX(Dropdown!$Q$5:$V$33,MATCH(Normteile!H31,Dropdown!$P$5:$P$33,0),MATCH(Normteile!K31,Dropdown!$Q$4:$V$4,0)),"-")</f>
        <v>-</v>
      </c>
      <c r="M31" s="16" t="s">
        <v>391</v>
      </c>
      <c r="N31" s="16" t="s">
        <v>175</v>
      </c>
      <c r="O31" s="188" t="s">
        <v>482</v>
      </c>
      <c r="P31" s="9">
        <v>7.0000000000000001E-3</v>
      </c>
      <c r="Q31" s="16" t="s">
        <v>483</v>
      </c>
    </row>
    <row r="32" spans="1:18">
      <c r="A32" s="16">
        <v>27</v>
      </c>
      <c r="B32" s="16" t="s">
        <v>186</v>
      </c>
      <c r="C32" s="45" t="s">
        <v>185</v>
      </c>
      <c r="D32" s="45">
        <v>91914038</v>
      </c>
      <c r="E32" s="45" t="e">
        <f>SUMIF(#REF!,Normteile!C32,#REF!)</f>
        <v>#REF!</v>
      </c>
      <c r="F32" s="9" t="s">
        <v>386</v>
      </c>
      <c r="G32" s="16" t="s">
        <v>484</v>
      </c>
      <c r="H32" s="9" t="s">
        <v>426</v>
      </c>
      <c r="I32" s="16">
        <v>30</v>
      </c>
      <c r="J32" s="17" t="s">
        <v>485</v>
      </c>
      <c r="K32" s="49" t="s">
        <v>486</v>
      </c>
      <c r="L32" s="74">
        <f>IF(F32="Schraube",INDEX(Dropdown!$Q$5:$V$33,MATCH(Normteile!H32,Dropdown!$P$5:$P$33,0),MATCH(Normteile!K32,Dropdown!$Q$4:$V$4,0)),"-")</f>
        <v>49</v>
      </c>
      <c r="M32" s="16" t="s">
        <v>391</v>
      </c>
      <c r="N32" s="16" t="s">
        <v>175</v>
      </c>
      <c r="O32" s="188" t="s">
        <v>487</v>
      </c>
      <c r="P32" s="9">
        <v>3.1E-2</v>
      </c>
      <c r="Q32" s="16" t="s">
        <v>488</v>
      </c>
    </row>
    <row r="33" spans="1:17">
      <c r="A33" s="16">
        <v>28</v>
      </c>
      <c r="B33" s="16" t="s">
        <v>316</v>
      </c>
      <c r="C33" s="45" t="s">
        <v>489</v>
      </c>
      <c r="D33" s="45">
        <v>91946430</v>
      </c>
      <c r="E33" s="45" t="e">
        <f>SUMIF(#REF!,Normteile!C33,#REF!)</f>
        <v>#REF!</v>
      </c>
      <c r="F33" s="9" t="s">
        <v>386</v>
      </c>
      <c r="G33" s="16" t="s">
        <v>484</v>
      </c>
      <c r="H33" s="9" t="s">
        <v>426</v>
      </c>
      <c r="I33" s="16">
        <v>60</v>
      </c>
      <c r="J33" s="17" t="s">
        <v>485</v>
      </c>
      <c r="K33" s="49" t="s">
        <v>486</v>
      </c>
      <c r="L33" s="74">
        <f>IF(F33="Schraube",INDEX(Dropdown!$Q$5:$V$33,MATCH(Normteile!H33,Dropdown!$P$5:$P$33,0),MATCH(Normteile!K33,Dropdown!$Q$4:$V$4,0)),"-")</f>
        <v>49</v>
      </c>
      <c r="M33" s="16" t="s">
        <v>391</v>
      </c>
      <c r="N33" s="16" t="s">
        <v>175</v>
      </c>
      <c r="O33" s="188" t="s">
        <v>490</v>
      </c>
      <c r="P33" s="9">
        <v>4.9000000000000002E-2</v>
      </c>
      <c r="Q33" s="76" t="s">
        <v>491</v>
      </c>
    </row>
    <row r="34" spans="1:17">
      <c r="A34" s="16">
        <v>29</v>
      </c>
      <c r="B34" s="16" t="s">
        <v>492</v>
      </c>
      <c r="C34" s="45" t="s">
        <v>493</v>
      </c>
      <c r="D34" s="45" t="s">
        <v>0</v>
      </c>
      <c r="E34" s="45" t="e">
        <f>SUMIF(#REF!,Normteile!C34,#REF!)</f>
        <v>#REF!</v>
      </c>
      <c r="F34" s="9" t="s">
        <v>386</v>
      </c>
      <c r="G34" s="16" t="s">
        <v>484</v>
      </c>
      <c r="H34" s="9" t="s">
        <v>494</v>
      </c>
      <c r="I34" s="16">
        <v>180</v>
      </c>
      <c r="J34" s="17" t="s">
        <v>495</v>
      </c>
      <c r="K34" s="49" t="s">
        <v>486</v>
      </c>
      <c r="L34" s="74">
        <f>IF(F34="Schraube",INDEX(Dropdown!$Q$5:$V$33,MATCH(Normteile!H34,Dropdown!$P$5:$P$33,0),MATCH(Normteile!K34,Dropdown!$Q$4:$V$4,0)),"-")</f>
        <v>215</v>
      </c>
      <c r="M34" s="16" t="s">
        <v>391</v>
      </c>
      <c r="N34" s="16" t="s">
        <v>175</v>
      </c>
      <c r="O34" s="188" t="s">
        <v>496</v>
      </c>
      <c r="P34" s="9" t="s">
        <v>43</v>
      </c>
      <c r="Q34" s="16" t="s">
        <v>497</v>
      </c>
    </row>
    <row r="35" spans="1:17">
      <c r="A35" s="16">
        <v>30</v>
      </c>
      <c r="B35" s="16" t="s">
        <v>324</v>
      </c>
      <c r="C35" s="45" t="s">
        <v>498</v>
      </c>
      <c r="D35" s="45">
        <v>91908682</v>
      </c>
      <c r="E35" s="45" t="e">
        <f>SUMIF(#REF!,Normteile!C35,#REF!)</f>
        <v>#REF!</v>
      </c>
      <c r="F35" s="9" t="s">
        <v>386</v>
      </c>
      <c r="G35" s="16" t="s">
        <v>484</v>
      </c>
      <c r="H35" s="9" t="s">
        <v>396</v>
      </c>
      <c r="I35" s="16">
        <v>40</v>
      </c>
      <c r="J35" s="17" t="s">
        <v>485</v>
      </c>
      <c r="K35" s="49" t="s">
        <v>486</v>
      </c>
      <c r="L35" s="74">
        <f>IF(F35="Schraube",INDEX(Dropdown!$Q$5:$V$33,MATCH(Normteile!H35,Dropdown!$P$5:$P$33,0),MATCH(Normteile!K35,Dropdown!$Q$4:$V$4,0)),"-")</f>
        <v>6.03</v>
      </c>
      <c r="M35" s="16" t="s">
        <v>391</v>
      </c>
      <c r="N35" s="16" t="s">
        <v>175</v>
      </c>
      <c r="O35" s="188" t="s">
        <v>499</v>
      </c>
      <c r="P35" s="9">
        <v>8.0000000000000002E-3</v>
      </c>
      <c r="Q35" s="16" t="s">
        <v>500</v>
      </c>
    </row>
    <row r="36" spans="1:17">
      <c r="A36" s="16">
        <v>31</v>
      </c>
      <c r="B36" s="16" t="s">
        <v>501</v>
      </c>
      <c r="C36" s="45" t="s">
        <v>502</v>
      </c>
      <c r="D36" s="45" t="s">
        <v>0</v>
      </c>
      <c r="E36" s="45" t="e">
        <f>SUMIF(#REF!,Normteile!C36,#REF!)</f>
        <v>#REF!</v>
      </c>
      <c r="F36" s="9" t="s">
        <v>386</v>
      </c>
      <c r="G36" s="16" t="s">
        <v>484</v>
      </c>
      <c r="H36" s="9" t="s">
        <v>399</v>
      </c>
      <c r="I36" s="16">
        <v>12</v>
      </c>
      <c r="J36" s="17" t="s">
        <v>485</v>
      </c>
      <c r="K36" s="49" t="s">
        <v>486</v>
      </c>
      <c r="L36" s="74">
        <f>IF(F36="Schraube",INDEX(Dropdown!$Q$5:$V$33,MATCH(Normteile!H36,Dropdown!$P$5:$P$33,0),MATCH(Normteile!K36,Dropdown!$Q$4:$V$4,0)),"-")</f>
        <v>10.25</v>
      </c>
      <c r="M36" s="16" t="s">
        <v>391</v>
      </c>
      <c r="N36" s="16" t="s">
        <v>175</v>
      </c>
      <c r="O36" s="188" t="s">
        <v>503</v>
      </c>
      <c r="P36" s="9" t="s">
        <v>43</v>
      </c>
      <c r="Q36" s="16" t="s">
        <v>504</v>
      </c>
    </row>
    <row r="37" spans="1:17">
      <c r="A37" s="16">
        <v>32</v>
      </c>
      <c r="B37" s="16" t="s">
        <v>505</v>
      </c>
      <c r="C37" s="45" t="s">
        <v>506</v>
      </c>
      <c r="D37" s="45">
        <v>91914024</v>
      </c>
      <c r="E37" s="45" t="e">
        <f>SUMIF(#REF!,Normteile!C37,#REF!)</f>
        <v>#REF!</v>
      </c>
      <c r="F37" s="9" t="s">
        <v>386</v>
      </c>
      <c r="G37" s="16" t="s">
        <v>484</v>
      </c>
      <c r="H37" s="9" t="s">
        <v>399</v>
      </c>
      <c r="I37" s="16">
        <v>25</v>
      </c>
      <c r="J37" s="17" t="s">
        <v>485</v>
      </c>
      <c r="K37" s="49" t="s">
        <v>486</v>
      </c>
      <c r="L37" s="74">
        <f>IF(F37="Schraube",INDEX(Dropdown!$Q$5:$V$33,MATCH(Normteile!H37,Dropdown!$P$5:$P$33,0),MATCH(Normteile!K37,Dropdown!$Q$4:$V$4,0)),"-")</f>
        <v>10.25</v>
      </c>
      <c r="M37" s="16" t="s">
        <v>391</v>
      </c>
      <c r="N37" s="16" t="s">
        <v>175</v>
      </c>
      <c r="O37" s="188" t="s">
        <v>507</v>
      </c>
      <c r="P37" s="9">
        <v>8.0000000000000002E-3</v>
      </c>
      <c r="Q37" s="16" t="s">
        <v>508</v>
      </c>
    </row>
    <row r="38" spans="1:17">
      <c r="A38" s="16">
        <v>33</v>
      </c>
      <c r="B38" s="16" t="s">
        <v>333</v>
      </c>
      <c r="C38" s="45" t="s">
        <v>334</v>
      </c>
      <c r="D38" s="45">
        <v>91907563</v>
      </c>
      <c r="E38" s="45" t="e">
        <f>SUMIF(#REF!,Normteile!C38,#REF!)</f>
        <v>#REF!</v>
      </c>
      <c r="F38" s="9" t="s">
        <v>386</v>
      </c>
      <c r="G38" s="16" t="s">
        <v>484</v>
      </c>
      <c r="H38" s="9" t="s">
        <v>399</v>
      </c>
      <c r="I38" s="16">
        <v>40</v>
      </c>
      <c r="J38" s="17" t="s">
        <v>485</v>
      </c>
      <c r="K38" s="49" t="s">
        <v>486</v>
      </c>
      <c r="L38" s="74">
        <f>IF(F38="Schraube",INDEX(Dropdown!$Q$5:$V$33,MATCH(Normteile!H38,Dropdown!$P$5:$P$33,0),MATCH(Normteile!K38,Dropdown!$Q$4:$V$4,0)),"-")</f>
        <v>10.25</v>
      </c>
      <c r="M38" s="16" t="s">
        <v>391</v>
      </c>
      <c r="N38" s="16" t="s">
        <v>175</v>
      </c>
      <c r="O38" s="188" t="s">
        <v>509</v>
      </c>
      <c r="P38" s="9">
        <v>1.0999999999999999E-2</v>
      </c>
      <c r="Q38" s="16" t="s">
        <v>510</v>
      </c>
    </row>
    <row r="39" spans="1:17">
      <c r="A39" s="16">
        <v>34</v>
      </c>
      <c r="B39" s="16" t="s">
        <v>511</v>
      </c>
      <c r="C39" s="45" t="s">
        <v>335</v>
      </c>
      <c r="D39" s="45">
        <v>91907564</v>
      </c>
      <c r="E39" s="45" t="e">
        <f>SUMIF(#REF!,Normteile!C39,#REF!)</f>
        <v>#REF!</v>
      </c>
      <c r="F39" s="9" t="s">
        <v>386</v>
      </c>
      <c r="G39" s="16" t="s">
        <v>484</v>
      </c>
      <c r="H39" s="9" t="s">
        <v>399</v>
      </c>
      <c r="I39" s="16">
        <v>55</v>
      </c>
      <c r="J39" s="17" t="s">
        <v>485</v>
      </c>
      <c r="K39" s="49" t="s">
        <v>486</v>
      </c>
      <c r="L39" s="74">
        <f>IF(F39="Schraube",INDEX(Dropdown!$Q$5:$V$33,MATCH(Normteile!H39,Dropdown!$P$5:$P$33,0),MATCH(Normteile!K39,Dropdown!$Q$4:$V$4,0)),"-")</f>
        <v>10.25</v>
      </c>
      <c r="M39" s="16" t="s">
        <v>391</v>
      </c>
      <c r="N39" s="16" t="s">
        <v>175</v>
      </c>
      <c r="O39" s="188" t="s">
        <v>512</v>
      </c>
      <c r="P39" s="9">
        <v>1.4999999999999999E-2</v>
      </c>
      <c r="Q39" s="16" t="s">
        <v>513</v>
      </c>
    </row>
    <row r="40" spans="1:17">
      <c r="A40" s="16">
        <v>35</v>
      </c>
      <c r="B40" s="16" t="s">
        <v>514</v>
      </c>
      <c r="C40" s="45" t="s">
        <v>515</v>
      </c>
      <c r="D40" s="45" t="s">
        <v>0</v>
      </c>
      <c r="E40" s="45" t="e">
        <f>SUMIF(#REF!,Normteile!C40,#REF!)</f>
        <v>#REF!</v>
      </c>
      <c r="F40" s="9" t="s">
        <v>386</v>
      </c>
      <c r="G40" s="16" t="s">
        <v>484</v>
      </c>
      <c r="H40" s="9" t="s">
        <v>399</v>
      </c>
      <c r="I40" s="16">
        <v>65</v>
      </c>
      <c r="J40" s="17" t="s">
        <v>485</v>
      </c>
      <c r="K40" s="49" t="s">
        <v>486</v>
      </c>
      <c r="L40" s="74">
        <f>IF(F40="Schraube",INDEX(Dropdown!$Q$5:$V$33,MATCH(Normteile!H40,Dropdown!$P$5:$P$33,0),MATCH(Normteile!K40,Dropdown!$Q$4:$V$4,0)),"-")</f>
        <v>10.25</v>
      </c>
      <c r="M40" s="16" t="s">
        <v>391</v>
      </c>
      <c r="N40" s="16" t="s">
        <v>175</v>
      </c>
      <c r="O40" s="188" t="s">
        <v>516</v>
      </c>
      <c r="P40" s="9" t="s">
        <v>43</v>
      </c>
      <c r="Q40" s="16" t="s">
        <v>517</v>
      </c>
    </row>
    <row r="41" spans="1:17">
      <c r="A41" s="16">
        <v>36</v>
      </c>
      <c r="B41" s="16" t="s">
        <v>518</v>
      </c>
      <c r="C41" s="45" t="s">
        <v>519</v>
      </c>
      <c r="D41" s="45" t="s">
        <v>0</v>
      </c>
      <c r="E41" s="45" t="e">
        <f>SUMIF(#REF!,Normteile!C41,#REF!)</f>
        <v>#REF!</v>
      </c>
      <c r="F41" s="9" t="s">
        <v>386</v>
      </c>
      <c r="G41" s="16" t="s">
        <v>484</v>
      </c>
      <c r="H41" s="9" t="s">
        <v>399</v>
      </c>
      <c r="I41" s="16">
        <v>75</v>
      </c>
      <c r="J41" s="17" t="s">
        <v>485</v>
      </c>
      <c r="K41" s="49" t="s">
        <v>486</v>
      </c>
      <c r="L41" s="74">
        <f>IF(F41="Schraube",INDEX(Dropdown!$Q$5:$V$33,MATCH(Normteile!H41,Dropdown!$P$5:$P$33,0),MATCH(Normteile!K41,Dropdown!$Q$4:$V$4,0)),"-")</f>
        <v>10.25</v>
      </c>
      <c r="M41" s="16" t="s">
        <v>391</v>
      </c>
      <c r="N41" s="16" t="s">
        <v>175</v>
      </c>
      <c r="O41" s="188" t="s">
        <v>520</v>
      </c>
      <c r="P41" s="9" t="s">
        <v>43</v>
      </c>
      <c r="Q41" s="16" t="s">
        <v>521</v>
      </c>
    </row>
    <row r="42" spans="1:17">
      <c r="A42" s="16">
        <v>37</v>
      </c>
      <c r="B42" s="16" t="s">
        <v>174</v>
      </c>
      <c r="C42" s="45" t="s">
        <v>522</v>
      </c>
      <c r="D42" s="45">
        <v>91914023</v>
      </c>
      <c r="E42" s="45" t="e">
        <f>SUMIF(#REF!,Normteile!C42,#REF!)</f>
        <v>#REF!</v>
      </c>
      <c r="F42" s="9" t="s">
        <v>386</v>
      </c>
      <c r="G42" s="16" t="s">
        <v>484</v>
      </c>
      <c r="H42" s="9" t="s">
        <v>403</v>
      </c>
      <c r="I42" s="16">
        <v>65</v>
      </c>
      <c r="J42" s="17" t="s">
        <v>485</v>
      </c>
      <c r="K42" s="49" t="s">
        <v>486</v>
      </c>
      <c r="L42" s="74">
        <f>IF(F42="Schraube",INDEX(Dropdown!$Q$5:$V$33,MATCH(Normteile!H42,Dropdown!$P$5:$P$33,0),MATCH(Normteile!K42,Dropdown!$Q$4:$V$4,0)),"-")</f>
        <v>24.93</v>
      </c>
      <c r="M42" s="16" t="s">
        <v>391</v>
      </c>
      <c r="N42" s="16" t="s">
        <v>175</v>
      </c>
      <c r="O42" s="188" t="s">
        <v>523</v>
      </c>
      <c r="P42" s="9">
        <v>3.2000000000000001E-2</v>
      </c>
      <c r="Q42" s="16" t="s">
        <v>524</v>
      </c>
    </row>
    <row r="43" spans="1:17">
      <c r="A43" s="16">
        <v>38</v>
      </c>
      <c r="B43" s="16" t="s">
        <v>525</v>
      </c>
      <c r="C43" s="45" t="s">
        <v>526</v>
      </c>
      <c r="D43" s="45" t="s">
        <v>0</v>
      </c>
      <c r="E43" s="45" t="e">
        <f>SUMIF(#REF!,Normteile!C43,#REF!)</f>
        <v>#REF!</v>
      </c>
      <c r="F43" s="9" t="s">
        <v>454</v>
      </c>
      <c r="G43" s="16" t="s">
        <v>455</v>
      </c>
      <c r="H43" s="9" t="s">
        <v>527</v>
      </c>
      <c r="J43" s="17" t="s">
        <v>528</v>
      </c>
      <c r="K43" s="49" t="s">
        <v>529</v>
      </c>
      <c r="L43" s="74" t="str">
        <f>IF(F43="Schraube",INDEX(Dropdown!$Q$5:$V$33,MATCH(Normteile!H43,Dropdown!$P$5:$P$33,0),MATCH(Normteile!K43,Dropdown!$Q$4:$V$4,0)),"-")</f>
        <v>-</v>
      </c>
      <c r="M43" s="16" t="s">
        <v>391</v>
      </c>
      <c r="N43" s="16" t="s">
        <v>175</v>
      </c>
      <c r="O43" s="188" t="s">
        <v>530</v>
      </c>
      <c r="P43" s="9" t="s">
        <v>43</v>
      </c>
      <c r="Q43" s="16" t="s">
        <v>531</v>
      </c>
    </row>
    <row r="44" spans="1:17">
      <c r="A44" s="16">
        <v>39</v>
      </c>
      <c r="B44" s="16" t="s">
        <v>532</v>
      </c>
      <c r="C44" s="45" t="s">
        <v>533</v>
      </c>
      <c r="D44" s="45" t="s">
        <v>0</v>
      </c>
      <c r="E44" s="45" t="e">
        <f>SUMIF(#REF!,Normteile!C44,#REF!)</f>
        <v>#REF!</v>
      </c>
      <c r="F44" s="9" t="s">
        <v>386</v>
      </c>
      <c r="G44" s="16" t="s">
        <v>534</v>
      </c>
      <c r="H44" s="9" t="s">
        <v>388</v>
      </c>
      <c r="I44" s="16">
        <v>6</v>
      </c>
      <c r="J44" s="17" t="s">
        <v>535</v>
      </c>
      <c r="K44" s="49" t="s">
        <v>486</v>
      </c>
      <c r="L44" s="74">
        <f>IF(F44="Schraube",INDEX(Dropdown!$Q$5:$V$33,MATCH(Normteile!H44,Dropdown!$P$5:$P$33,0),MATCH(Normteile!K44,Dropdown!$Q$4:$V$4,0)),"-")</f>
        <v>2.97</v>
      </c>
      <c r="M44" s="16" t="s">
        <v>391</v>
      </c>
      <c r="N44" s="16" t="s">
        <v>175</v>
      </c>
      <c r="O44" s="188" t="s">
        <v>536</v>
      </c>
      <c r="P44" s="9" t="s">
        <v>43</v>
      </c>
      <c r="Q44" s="16" t="s">
        <v>537</v>
      </c>
    </row>
    <row r="45" spans="1:17">
      <c r="A45" s="16">
        <v>40</v>
      </c>
      <c r="B45" s="16" t="s">
        <v>538</v>
      </c>
      <c r="C45" s="45" t="s">
        <v>539</v>
      </c>
      <c r="D45" s="45" t="s">
        <v>0</v>
      </c>
      <c r="E45" s="45" t="e">
        <f>SUMIF(#REF!,Normteile!C45,#REF!)</f>
        <v>#REF!</v>
      </c>
      <c r="F45" s="9" t="s">
        <v>386</v>
      </c>
      <c r="G45" s="16" t="s">
        <v>534</v>
      </c>
      <c r="H45" s="9" t="s">
        <v>396</v>
      </c>
      <c r="I45" s="16">
        <v>14</v>
      </c>
      <c r="J45" s="17" t="s">
        <v>535</v>
      </c>
      <c r="K45" s="49" t="s">
        <v>486</v>
      </c>
      <c r="L45" s="74">
        <f>IF(F45="Schraube",INDEX(Dropdown!$Q$5:$V$33,MATCH(Normteile!H45,Dropdown!$P$5:$P$33,0),MATCH(Normteile!K45,Dropdown!$Q$4:$V$4,0)),"-")</f>
        <v>6.03</v>
      </c>
      <c r="M45" s="16" t="s">
        <v>391</v>
      </c>
      <c r="N45" s="16" t="s">
        <v>175</v>
      </c>
      <c r="O45" s="188" t="s">
        <v>540</v>
      </c>
      <c r="P45" s="9" t="s">
        <v>43</v>
      </c>
      <c r="Q45" s="16" t="s">
        <v>541</v>
      </c>
    </row>
    <row r="46" spans="1:17">
      <c r="A46" s="16">
        <v>41</v>
      </c>
      <c r="B46" s="16" t="s">
        <v>156</v>
      </c>
      <c r="C46" s="45" t="s">
        <v>542</v>
      </c>
      <c r="D46" s="45">
        <v>91908665</v>
      </c>
      <c r="E46" s="45" t="e">
        <f>SUMIF(#REF!,Normteile!C46,#REF!)</f>
        <v>#REF!</v>
      </c>
      <c r="F46" s="9" t="s">
        <v>386</v>
      </c>
      <c r="G46" s="16" t="s">
        <v>534</v>
      </c>
      <c r="H46" s="9" t="s">
        <v>399</v>
      </c>
      <c r="I46" s="16">
        <v>16</v>
      </c>
      <c r="J46" s="17" t="s">
        <v>535</v>
      </c>
      <c r="K46" s="49" t="s">
        <v>486</v>
      </c>
      <c r="L46" s="74">
        <f>IF(F46="Schraube",INDEX(Dropdown!$Q$5:$V$33,MATCH(Normteile!H46,Dropdown!$P$5:$P$33,0),MATCH(Normteile!K46,Dropdown!$Q$4:$V$4,0)),"-")</f>
        <v>10.25</v>
      </c>
      <c r="M46" s="16" t="s">
        <v>391</v>
      </c>
      <c r="N46" s="16" t="s">
        <v>175</v>
      </c>
      <c r="O46" s="188" t="s">
        <v>543</v>
      </c>
      <c r="P46" s="9">
        <v>4.0000000000000001E-3</v>
      </c>
      <c r="Q46" s="16" t="s">
        <v>544</v>
      </c>
    </row>
    <row r="47" spans="1:17">
      <c r="A47" s="16">
        <v>42</v>
      </c>
      <c r="B47" s="16" t="s">
        <v>545</v>
      </c>
      <c r="C47" s="45" t="s">
        <v>546</v>
      </c>
      <c r="D47" s="45" t="s">
        <v>0</v>
      </c>
      <c r="E47" s="45" t="e">
        <f>SUMIF(#REF!,Normteile!C47,#REF!)</f>
        <v>#REF!</v>
      </c>
      <c r="F47" s="9" t="s">
        <v>386</v>
      </c>
      <c r="G47" s="16" t="s">
        <v>534</v>
      </c>
      <c r="H47" s="9" t="s">
        <v>399</v>
      </c>
      <c r="I47" s="16">
        <v>30</v>
      </c>
      <c r="J47" s="17" t="s">
        <v>535</v>
      </c>
      <c r="K47" s="49" t="s">
        <v>486</v>
      </c>
      <c r="L47" s="74">
        <f>IF(F47="Schraube",INDEX(Dropdown!$Q$5:$V$33,MATCH(Normteile!H47,Dropdown!$P$5:$P$33,0),MATCH(Normteile!K47,Dropdown!$Q$4:$V$4,0)),"-")</f>
        <v>10.25</v>
      </c>
      <c r="M47" s="16" t="s">
        <v>391</v>
      </c>
      <c r="N47" s="16" t="s">
        <v>175</v>
      </c>
      <c r="O47" s="188" t="s">
        <v>547</v>
      </c>
      <c r="P47" s="9" t="s">
        <v>43</v>
      </c>
      <c r="Q47" s="16" t="s">
        <v>548</v>
      </c>
    </row>
    <row r="48" spans="1:17">
      <c r="A48" s="16">
        <v>43</v>
      </c>
      <c r="B48" s="16" t="s">
        <v>549</v>
      </c>
      <c r="C48" s="45" t="s">
        <v>550</v>
      </c>
      <c r="D48" s="45">
        <v>91908694</v>
      </c>
      <c r="E48" s="45" t="e">
        <f>SUMIF(#REF!,Normteile!C48,#REF!)</f>
        <v>#REF!</v>
      </c>
      <c r="F48" s="9" t="s">
        <v>386</v>
      </c>
      <c r="G48" s="16" t="s">
        <v>534</v>
      </c>
      <c r="H48" s="9" t="s">
        <v>399</v>
      </c>
      <c r="I48" s="16">
        <v>35</v>
      </c>
      <c r="J48" s="17" t="s">
        <v>535</v>
      </c>
      <c r="K48" s="49" t="s">
        <v>486</v>
      </c>
      <c r="L48" s="74">
        <f>IF(F48="Schraube",INDEX(Dropdown!$Q$5:$V$33,MATCH(Normteile!H48,Dropdown!$P$5:$P$33,0),MATCH(Normteile!K48,Dropdown!$Q$4:$V$4,0)),"-")</f>
        <v>10.25</v>
      </c>
      <c r="M48" s="16" t="s">
        <v>391</v>
      </c>
      <c r="N48" s="16" t="s">
        <v>175</v>
      </c>
      <c r="O48" s="188" t="s">
        <v>551</v>
      </c>
      <c r="P48" s="9">
        <v>8.9999999999999993E-3</v>
      </c>
      <c r="Q48" s="16" t="s">
        <v>552</v>
      </c>
    </row>
    <row r="49" spans="1:18">
      <c r="A49" s="16">
        <v>44</v>
      </c>
      <c r="B49" s="16" t="s">
        <v>553</v>
      </c>
      <c r="C49" s="45" t="s">
        <v>554</v>
      </c>
      <c r="D49" s="45">
        <v>91908693</v>
      </c>
      <c r="E49" s="45" t="e">
        <f>SUMIF(#REF!,Normteile!C49,#REF!)</f>
        <v>#REF!</v>
      </c>
      <c r="F49" s="9" t="s">
        <v>386</v>
      </c>
      <c r="G49" s="16" t="s">
        <v>534</v>
      </c>
      <c r="H49" s="9" t="s">
        <v>399</v>
      </c>
      <c r="I49" s="16">
        <v>70</v>
      </c>
      <c r="J49" s="17" t="s">
        <v>535</v>
      </c>
      <c r="K49" s="49" t="s">
        <v>486</v>
      </c>
      <c r="L49" s="74">
        <f>IF(F49="Schraube",INDEX(Dropdown!$Q$5:$V$33,MATCH(Normteile!H49,Dropdown!$P$5:$P$33,0),MATCH(Normteile!K49,Dropdown!$Q$4:$V$4,0)),"-")</f>
        <v>10.25</v>
      </c>
      <c r="M49" s="16" t="s">
        <v>391</v>
      </c>
      <c r="N49" s="16" t="s">
        <v>175</v>
      </c>
      <c r="O49" s="188" t="s">
        <v>555</v>
      </c>
      <c r="P49" s="9">
        <v>1.6E-2</v>
      </c>
      <c r="Q49" s="16" t="s">
        <v>556</v>
      </c>
    </row>
    <row r="50" spans="1:18">
      <c r="A50" s="16">
        <v>45</v>
      </c>
      <c r="B50" s="16" t="s">
        <v>557</v>
      </c>
      <c r="C50" s="45" t="s">
        <v>558</v>
      </c>
      <c r="D50" s="45" t="s">
        <v>0</v>
      </c>
      <c r="E50" s="45" t="e">
        <f>SUMIF(#REF!,Normteile!C50,#REF!)</f>
        <v>#REF!</v>
      </c>
      <c r="F50" s="9" t="s">
        <v>386</v>
      </c>
      <c r="G50" s="16" t="s">
        <v>559</v>
      </c>
      <c r="H50" s="9" t="s">
        <v>399</v>
      </c>
      <c r="I50" s="16">
        <v>16</v>
      </c>
      <c r="L50" s="74" t="e">
        <f>IF(F50="Schraube",INDEX(Dropdown!$Q$5:$V$33,MATCH(Normteile!H50,Dropdown!$P$5:$P$33,0),MATCH(Normteile!K50,Dropdown!$Q$4:$V$4,0)),"-")</f>
        <v>#N/A</v>
      </c>
      <c r="M50" s="16" t="s">
        <v>391</v>
      </c>
      <c r="N50" s="16" t="s">
        <v>175</v>
      </c>
      <c r="O50" s="188" t="s">
        <v>560</v>
      </c>
      <c r="P50" s="9" t="s">
        <v>43</v>
      </c>
      <c r="Q50" s="16" t="s">
        <v>561</v>
      </c>
    </row>
    <row r="51" spans="1:18">
      <c r="A51" s="16">
        <v>46</v>
      </c>
      <c r="B51" s="16" t="s">
        <v>562</v>
      </c>
      <c r="C51" s="45" t="s">
        <v>563</v>
      </c>
      <c r="D51" s="45" t="s">
        <v>0</v>
      </c>
      <c r="E51" s="45" t="e">
        <f>SUMIF(#REF!,Normteile!C51,#REF!)</f>
        <v>#REF!</v>
      </c>
      <c r="F51" s="9" t="s">
        <v>386</v>
      </c>
      <c r="G51" s="16" t="s">
        <v>559</v>
      </c>
      <c r="H51" s="9" t="s">
        <v>399</v>
      </c>
      <c r="I51" s="16">
        <v>20</v>
      </c>
      <c r="L51" s="74" t="e">
        <f>IF(F51="Schraube",INDEX(Dropdown!$Q$5:$V$33,MATCH(Normteile!H51,Dropdown!$P$5:$P$33,0),MATCH(Normteile!K51,Dropdown!$Q$4:$V$4,0)),"-")</f>
        <v>#N/A</v>
      </c>
      <c r="M51" s="16" t="s">
        <v>391</v>
      </c>
      <c r="N51" s="16" t="s">
        <v>175</v>
      </c>
      <c r="O51" s="188" t="s">
        <v>564</v>
      </c>
      <c r="P51" s="9" t="s">
        <v>43</v>
      </c>
      <c r="Q51" s="16" t="s">
        <v>565</v>
      </c>
    </row>
    <row r="52" spans="1:18">
      <c r="A52" s="16">
        <v>47</v>
      </c>
      <c r="B52" s="16" t="s">
        <v>55</v>
      </c>
      <c r="C52" s="45" t="s">
        <v>566</v>
      </c>
      <c r="D52" s="45">
        <v>91914029</v>
      </c>
      <c r="E52" s="45" t="e">
        <f>SUMIF(#REF!,Normteile!C52,#REF!)</f>
        <v>#REF!</v>
      </c>
      <c r="F52" s="9" t="s">
        <v>454</v>
      </c>
      <c r="G52" s="16" t="s">
        <v>567</v>
      </c>
      <c r="H52" s="9" t="s">
        <v>396</v>
      </c>
      <c r="L52" s="74" t="str">
        <f>IF(F52="Schraube",INDEX(Dropdown!$Q$5:$V$33,MATCH(Normteile!H52,Dropdown!$P$5:$P$33,0),MATCH(Normteile!K52,Dropdown!$Q$4:$V$4,0)),"-")</f>
        <v>-</v>
      </c>
      <c r="M52" s="16" t="s">
        <v>391</v>
      </c>
      <c r="N52" s="16" t="s">
        <v>175</v>
      </c>
      <c r="O52" s="188" t="s">
        <v>568</v>
      </c>
      <c r="P52" s="9">
        <v>2E-3</v>
      </c>
      <c r="Q52" s="16" t="s">
        <v>569</v>
      </c>
    </row>
    <row r="53" spans="1:18">
      <c r="A53" s="16">
        <v>48</v>
      </c>
      <c r="B53" s="16" t="s">
        <v>319</v>
      </c>
      <c r="C53" s="45" t="s">
        <v>320</v>
      </c>
      <c r="D53" s="45">
        <v>91907559</v>
      </c>
      <c r="E53" s="45" t="e">
        <f>SUMIF(#REF!,Normteile!C53,#REF!)</f>
        <v>#REF!</v>
      </c>
      <c r="F53" s="16" t="s">
        <v>570</v>
      </c>
      <c r="G53" s="16" t="s">
        <v>571</v>
      </c>
      <c r="J53" s="17" t="s">
        <v>572</v>
      </c>
      <c r="L53" s="74" t="str">
        <f>IF(F53="Schraube",INDEX(Dropdown!$Q$5:$V$33,MATCH(Normteile!H53,Dropdown!$P$5:$P$33,0),MATCH(Normteile!K53,Dropdown!$Q$4:$V$4,0)),"-")</f>
        <v>-</v>
      </c>
      <c r="N53" s="16" t="s">
        <v>175</v>
      </c>
      <c r="O53" s="188">
        <v>4711412220</v>
      </c>
      <c r="P53" s="9">
        <v>1E-3</v>
      </c>
      <c r="Q53" s="16" t="s">
        <v>573</v>
      </c>
    </row>
    <row r="54" spans="1:18">
      <c r="A54" s="16">
        <v>49</v>
      </c>
      <c r="B54" s="16" t="s">
        <v>574</v>
      </c>
      <c r="C54" s="45" t="s">
        <v>575</v>
      </c>
      <c r="D54" s="45" t="s">
        <v>0</v>
      </c>
      <c r="E54" s="45" t="e">
        <f>SUMIF(#REF!,Normteile!C54,#REF!)</f>
        <v>#REF!</v>
      </c>
      <c r="F54" s="16" t="s">
        <v>570</v>
      </c>
      <c r="G54" s="16" t="s">
        <v>571</v>
      </c>
      <c r="J54" s="17" t="s">
        <v>572</v>
      </c>
      <c r="L54" s="74" t="str">
        <f>IF(F54="Schraube",INDEX(Dropdown!$Q$5:$V$33,MATCH(Normteile!H54,Dropdown!$P$5:$P$33,0),MATCH(Normteile!K54,Dropdown!$Q$4:$V$4,0)),"-")</f>
        <v>-</v>
      </c>
      <c r="N54" s="16" t="s">
        <v>175</v>
      </c>
      <c r="O54" s="188">
        <v>4711412230</v>
      </c>
      <c r="P54" s="9" t="s">
        <v>43</v>
      </c>
      <c r="Q54" s="16" t="s">
        <v>576</v>
      </c>
    </row>
    <row r="55" spans="1:18">
      <c r="A55" s="16">
        <v>50</v>
      </c>
      <c r="B55" s="16" t="s">
        <v>178</v>
      </c>
      <c r="C55" s="45" t="s">
        <v>577</v>
      </c>
      <c r="D55" s="45">
        <v>91914027</v>
      </c>
      <c r="E55" s="45" t="e">
        <f>SUMIF(#REF!,Normteile!C55,#REF!)</f>
        <v>#REF!</v>
      </c>
      <c r="F55" s="9" t="s">
        <v>430</v>
      </c>
      <c r="G55" s="16" t="s">
        <v>578</v>
      </c>
      <c r="H55" s="9" t="s">
        <v>399</v>
      </c>
      <c r="L55" s="74" t="str">
        <f>IF(F55="Schraube",INDEX(Dropdown!$Q$5:$V$33,MATCH(Normteile!H55,Dropdown!$P$5:$P$33,0),MATCH(Normteile!K55,Dropdown!$Q$4:$V$4,0)),"-")</f>
        <v>-</v>
      </c>
      <c r="M55" s="16" t="s">
        <v>579</v>
      </c>
      <c r="N55" s="16" t="s">
        <v>175</v>
      </c>
      <c r="O55" s="188" t="s">
        <v>580</v>
      </c>
      <c r="P55" s="9">
        <v>1E-3</v>
      </c>
      <c r="Q55" s="16" t="s">
        <v>581</v>
      </c>
    </row>
    <row r="56" spans="1:18">
      <c r="A56" s="16">
        <v>51</v>
      </c>
      <c r="B56" s="16" t="s">
        <v>179</v>
      </c>
      <c r="C56" s="45" t="s">
        <v>582</v>
      </c>
      <c r="D56" s="45">
        <v>91914028</v>
      </c>
      <c r="E56" s="45" t="e">
        <f>SUMIF(#REF!,Normteile!C56,#REF!)</f>
        <v>#REF!</v>
      </c>
      <c r="F56" s="9" t="s">
        <v>386</v>
      </c>
      <c r="G56" s="16" t="s">
        <v>559</v>
      </c>
      <c r="H56" s="9" t="s">
        <v>396</v>
      </c>
      <c r="I56" s="16">
        <v>20</v>
      </c>
      <c r="L56" s="74" t="e">
        <f>IF(F56="Schraube",INDEX(Dropdown!$Q$5:$V$33,MATCH(Normteile!H56,Dropdown!$P$5:$P$33,0),MATCH(Normteile!K56,Dropdown!$Q$4:$V$4,0)),"-")</f>
        <v>#N/A</v>
      </c>
      <c r="M56" s="16" t="s">
        <v>391</v>
      </c>
      <c r="N56" s="16" t="s">
        <v>175</v>
      </c>
      <c r="O56" s="188" t="s">
        <v>583</v>
      </c>
      <c r="P56" s="9">
        <v>5.0000000000000001E-3</v>
      </c>
      <c r="Q56" s="16" t="s">
        <v>584</v>
      </c>
    </row>
    <row r="57" spans="1:18" s="80" customFormat="1">
      <c r="A57" s="16">
        <v>52</v>
      </c>
      <c r="B57" s="84" t="s">
        <v>585</v>
      </c>
      <c r="C57" s="85" t="s">
        <v>586</v>
      </c>
      <c r="D57" s="45" t="s">
        <v>0</v>
      </c>
      <c r="E57" s="85" t="e">
        <f>SUMIF(#REF!,Normteile!C57,#REF!)</f>
        <v>#REF!</v>
      </c>
      <c r="F57" s="86" t="s">
        <v>386</v>
      </c>
      <c r="G57" s="84" t="s">
        <v>559</v>
      </c>
      <c r="H57" s="86" t="s">
        <v>399</v>
      </c>
      <c r="I57" s="84">
        <v>25</v>
      </c>
      <c r="J57" s="87"/>
      <c r="K57" s="113"/>
      <c r="L57" s="84" t="e">
        <f>IF(F57="Schraube",INDEX(Dropdown!$Q$5:$V$33,MATCH(Normteile!H57,Dropdown!$P$5:$P$33,0),MATCH(Normteile!K57,Dropdown!$Q$4:$V$4,0)),"-")</f>
        <v>#N/A</v>
      </c>
      <c r="M57" s="84" t="s">
        <v>391</v>
      </c>
      <c r="N57" s="84" t="s">
        <v>175</v>
      </c>
      <c r="O57" s="184" t="s">
        <v>587</v>
      </c>
      <c r="P57" s="9" t="s">
        <v>43</v>
      </c>
      <c r="Q57" s="84" t="s">
        <v>588</v>
      </c>
      <c r="R57" s="84"/>
    </row>
    <row r="58" spans="1:18">
      <c r="A58" s="16">
        <v>53</v>
      </c>
      <c r="B58" s="16" t="s">
        <v>184</v>
      </c>
      <c r="C58" s="45" t="s">
        <v>589</v>
      </c>
      <c r="D58" s="45">
        <v>91914026</v>
      </c>
      <c r="E58" s="45" t="e">
        <f>SUMIF(#REF!,Normteile!C58,#REF!)</f>
        <v>#REF!</v>
      </c>
      <c r="F58" s="9" t="s">
        <v>386</v>
      </c>
      <c r="G58" s="16" t="s">
        <v>559</v>
      </c>
      <c r="H58" s="9" t="s">
        <v>403</v>
      </c>
      <c r="I58" s="16">
        <v>16</v>
      </c>
      <c r="L58" s="74" t="e">
        <f>IF(F58="Schraube",INDEX(Dropdown!$Q$5:$V$33,MATCH(Normteile!H58,Dropdown!$P$5:$P$33,0),MATCH(Normteile!K58,Dropdown!$Q$4:$V$4,0)),"-")</f>
        <v>#N/A</v>
      </c>
      <c r="M58" s="16" t="s">
        <v>391</v>
      </c>
      <c r="N58" s="16" t="s">
        <v>175</v>
      </c>
      <c r="O58" s="188" t="s">
        <v>590</v>
      </c>
      <c r="P58" s="9">
        <v>1.6E-2</v>
      </c>
      <c r="Q58" s="16" t="s">
        <v>591</v>
      </c>
    </row>
    <row r="59" spans="1:18">
      <c r="A59" s="16">
        <v>54</v>
      </c>
      <c r="B59" s="16" t="s">
        <v>592</v>
      </c>
      <c r="C59" s="45" t="s">
        <v>593</v>
      </c>
      <c r="D59" s="45" t="s">
        <v>0</v>
      </c>
      <c r="E59" s="45" t="e">
        <f>SUMIF(#REF!,Normteile!C59,#REF!)</f>
        <v>#REF!</v>
      </c>
      <c r="F59" s="9" t="s">
        <v>386</v>
      </c>
      <c r="G59" s="16" t="s">
        <v>594</v>
      </c>
      <c r="H59" s="9" t="s">
        <v>388</v>
      </c>
      <c r="I59" s="16">
        <v>14</v>
      </c>
      <c r="J59" s="17" t="s">
        <v>595</v>
      </c>
      <c r="K59" s="49" t="s">
        <v>486</v>
      </c>
      <c r="L59" s="74">
        <f>IF(F59="Schraube",INDEX(Dropdown!$Q$5:$V$33,MATCH(Normteile!H59,Dropdown!$P$5:$P$33,0),MATCH(Normteile!K59,Dropdown!$Q$4:$V$4,0)),"-")</f>
        <v>2.97</v>
      </c>
      <c r="M59" s="16" t="s">
        <v>391</v>
      </c>
      <c r="N59" s="16" t="s">
        <v>175</v>
      </c>
      <c r="O59" s="188" t="s">
        <v>596</v>
      </c>
      <c r="P59" s="9" t="s">
        <v>43</v>
      </c>
      <c r="Q59" s="16" t="s">
        <v>597</v>
      </c>
    </row>
    <row r="60" spans="1:18">
      <c r="A60" s="16">
        <v>55</v>
      </c>
      <c r="B60" s="16" t="s">
        <v>328</v>
      </c>
      <c r="C60" s="45" t="s">
        <v>598</v>
      </c>
      <c r="D60" s="45">
        <v>91914014</v>
      </c>
      <c r="E60" s="45" t="e">
        <f>SUMIF(#REF!,Normteile!C60,#REF!)</f>
        <v>#REF!</v>
      </c>
      <c r="F60" s="9" t="s">
        <v>386</v>
      </c>
      <c r="G60" s="16" t="s">
        <v>594</v>
      </c>
      <c r="H60" s="9" t="s">
        <v>396</v>
      </c>
      <c r="I60" s="16">
        <v>12</v>
      </c>
      <c r="J60" s="17" t="s">
        <v>595</v>
      </c>
      <c r="K60" s="49" t="s">
        <v>486</v>
      </c>
      <c r="L60" s="74">
        <f>IF(F60="Schraube",INDEX(Dropdown!$Q$5:$V$33,MATCH(Normteile!H60,Dropdown!$P$5:$P$33,0),MATCH(Normteile!K60,Dropdown!$Q$4:$V$4,0)),"-")</f>
        <v>6.03</v>
      </c>
      <c r="M60" s="16" t="s">
        <v>391</v>
      </c>
      <c r="N60" s="16" t="s">
        <v>175</v>
      </c>
      <c r="O60" s="188" t="s">
        <v>599</v>
      </c>
      <c r="P60" s="9">
        <v>4.0000000000000001E-3</v>
      </c>
      <c r="Q60" s="76" t="s">
        <v>600</v>
      </c>
    </row>
    <row r="61" spans="1:18">
      <c r="A61" s="16">
        <v>56</v>
      </c>
      <c r="B61" s="16" t="s">
        <v>228</v>
      </c>
      <c r="C61" s="45" t="s">
        <v>227</v>
      </c>
      <c r="D61" s="45">
        <v>91953693</v>
      </c>
      <c r="E61" s="45" t="e">
        <f>SUMIF(#REF!,Normteile!C61,#REF!)</f>
        <v>#REF!</v>
      </c>
      <c r="F61" s="9" t="s">
        <v>386</v>
      </c>
      <c r="G61" s="16" t="s">
        <v>594</v>
      </c>
      <c r="H61" s="9" t="s">
        <v>396</v>
      </c>
      <c r="I61" s="16">
        <v>20</v>
      </c>
      <c r="J61" s="17" t="s">
        <v>595</v>
      </c>
      <c r="K61" s="49" t="s">
        <v>486</v>
      </c>
      <c r="L61" s="74">
        <f>IF(F61="Schraube",INDEX(Dropdown!$Q$5:$V$33,MATCH(Normteile!H61,Dropdown!$P$5:$P$33,0),MATCH(Normteile!K61,Dropdown!$Q$4:$V$4,0)),"-")</f>
        <v>6.03</v>
      </c>
      <c r="M61" s="16" t="s">
        <v>391</v>
      </c>
      <c r="O61" s="188"/>
      <c r="P61" s="9" t="s">
        <v>43</v>
      </c>
    </row>
    <row r="62" spans="1:18">
      <c r="A62" s="16">
        <v>57</v>
      </c>
      <c r="B62" s="16" t="s">
        <v>322</v>
      </c>
      <c r="C62" s="45" t="s">
        <v>601</v>
      </c>
      <c r="D62" s="45">
        <v>91908681</v>
      </c>
      <c r="E62" s="45" t="e">
        <f>SUMIF(#REF!,Normteile!C62,#REF!)</f>
        <v>#REF!</v>
      </c>
      <c r="F62" s="9" t="s">
        <v>386</v>
      </c>
      <c r="G62" s="16" t="s">
        <v>594</v>
      </c>
      <c r="H62" s="9" t="s">
        <v>396</v>
      </c>
      <c r="I62" s="16">
        <v>25</v>
      </c>
      <c r="J62" s="17" t="s">
        <v>595</v>
      </c>
      <c r="K62" s="49" t="s">
        <v>486</v>
      </c>
      <c r="L62" s="74">
        <f>IF(F62="Schraube",INDEX(Dropdown!$Q$5:$V$33,MATCH(Normteile!H62,Dropdown!$P$5:$P$33,0),MATCH(Normteile!K62,Dropdown!$Q$4:$V$4,0)),"-")</f>
        <v>6.03</v>
      </c>
      <c r="M62" s="16" t="s">
        <v>391</v>
      </c>
      <c r="N62" s="16" t="s">
        <v>175</v>
      </c>
      <c r="O62" s="188" t="s">
        <v>602</v>
      </c>
      <c r="P62" s="9">
        <v>6.0000000000000001E-3</v>
      </c>
      <c r="Q62" s="16" t="s">
        <v>603</v>
      </c>
    </row>
    <row r="63" spans="1:18">
      <c r="A63" s="16">
        <v>58</v>
      </c>
      <c r="B63" s="16" t="s">
        <v>327</v>
      </c>
      <c r="C63" s="45" t="s">
        <v>604</v>
      </c>
      <c r="D63" s="45">
        <v>91908684</v>
      </c>
      <c r="E63" s="45" t="e">
        <f>SUMIF(#REF!,Normteile!C63,#REF!)</f>
        <v>#REF!</v>
      </c>
      <c r="F63" s="9" t="s">
        <v>386</v>
      </c>
      <c r="G63" s="16" t="s">
        <v>594</v>
      </c>
      <c r="H63" s="9" t="s">
        <v>396</v>
      </c>
      <c r="I63" s="16">
        <v>40</v>
      </c>
      <c r="J63" s="17" t="s">
        <v>595</v>
      </c>
      <c r="K63" s="49" t="s">
        <v>486</v>
      </c>
      <c r="L63" s="74">
        <f>IF(F63="Schraube",INDEX(Dropdown!$Q$5:$V$33,MATCH(Normteile!H63,Dropdown!$P$5:$P$33,0),MATCH(Normteile!K63,Dropdown!$Q$4:$V$4,0)),"-")</f>
        <v>6.03</v>
      </c>
      <c r="M63" s="16" t="s">
        <v>391</v>
      </c>
      <c r="N63" s="16" t="s">
        <v>175</v>
      </c>
      <c r="O63" s="188" t="s">
        <v>605</v>
      </c>
      <c r="P63" s="9">
        <v>8.0000000000000002E-3</v>
      </c>
      <c r="Q63" s="16" t="s">
        <v>606</v>
      </c>
    </row>
    <row r="64" spans="1:18">
      <c r="A64" s="16">
        <v>59</v>
      </c>
      <c r="B64" s="16" t="s">
        <v>607</v>
      </c>
      <c r="C64" s="45" t="s">
        <v>608</v>
      </c>
      <c r="D64" s="45" t="s">
        <v>0</v>
      </c>
      <c r="E64" s="45" t="e">
        <f>SUMIF(#REF!,Normteile!C64,#REF!)</f>
        <v>#REF!</v>
      </c>
      <c r="F64" s="9" t="s">
        <v>386</v>
      </c>
      <c r="G64" s="16" t="s">
        <v>594</v>
      </c>
      <c r="H64" s="9" t="s">
        <v>399</v>
      </c>
      <c r="I64" s="16">
        <v>12</v>
      </c>
      <c r="J64" s="17" t="s">
        <v>595</v>
      </c>
      <c r="K64" s="49" t="s">
        <v>486</v>
      </c>
      <c r="L64" s="74">
        <f>IF(F64="Schraube",INDEX(Dropdown!$Q$5:$V$33,MATCH(Normteile!H64,Dropdown!$P$5:$P$33,0),MATCH(Normteile!K64,Dropdown!$Q$4:$V$4,0)),"-")</f>
        <v>10.25</v>
      </c>
      <c r="M64" s="16" t="s">
        <v>391</v>
      </c>
      <c r="N64" s="16" t="s">
        <v>175</v>
      </c>
      <c r="O64" s="188" t="s">
        <v>609</v>
      </c>
      <c r="P64" s="9" t="s">
        <v>43</v>
      </c>
      <c r="Q64" s="16" t="s">
        <v>610</v>
      </c>
    </row>
    <row r="65" spans="1:18">
      <c r="A65" s="16">
        <v>60</v>
      </c>
      <c r="B65" s="16" t="s">
        <v>157</v>
      </c>
      <c r="C65" s="45" t="s">
        <v>611</v>
      </c>
      <c r="D65" s="45">
        <v>91913989</v>
      </c>
      <c r="E65" s="45" t="e">
        <f>SUMIF(#REF!,Normteile!C65,#REF!)</f>
        <v>#REF!</v>
      </c>
      <c r="F65" s="9" t="s">
        <v>386</v>
      </c>
      <c r="G65" s="16" t="s">
        <v>612</v>
      </c>
      <c r="H65" s="9" t="s">
        <v>399</v>
      </c>
      <c r="I65" s="16">
        <v>16</v>
      </c>
      <c r="J65" s="17" t="s">
        <v>613</v>
      </c>
      <c r="K65" s="49" t="s">
        <v>486</v>
      </c>
      <c r="L65" s="74">
        <f>IF(F65="Schraube",INDEX(Dropdown!$Q$5:$V$33,MATCH(Normteile!H65,Dropdown!$P$5:$P$33,0),MATCH(Normteile!K65,Dropdown!$Q$4:$V$4,0)),"-")</f>
        <v>10.25</v>
      </c>
      <c r="M65" s="16" t="s">
        <v>391</v>
      </c>
      <c r="N65" s="16" t="s">
        <v>175</v>
      </c>
      <c r="O65" s="188" t="s">
        <v>614</v>
      </c>
      <c r="P65" s="9">
        <v>6.0000000000000001E-3</v>
      </c>
      <c r="Q65" s="16" t="s">
        <v>615</v>
      </c>
    </row>
    <row r="66" spans="1:18">
      <c r="A66" s="16">
        <v>61</v>
      </c>
      <c r="B66" s="16" t="s">
        <v>172</v>
      </c>
      <c r="C66" s="45" t="s">
        <v>616</v>
      </c>
      <c r="D66" s="45">
        <v>91908692</v>
      </c>
      <c r="E66" s="45" t="e">
        <f>SUMIF(#REF!,Normteile!C66,#REF!)</f>
        <v>#REF!</v>
      </c>
      <c r="F66" s="9" t="s">
        <v>386</v>
      </c>
      <c r="G66" s="16" t="s">
        <v>594</v>
      </c>
      <c r="H66" s="9" t="s">
        <v>399</v>
      </c>
      <c r="I66" s="16">
        <v>20</v>
      </c>
      <c r="J66" s="17" t="s">
        <v>595</v>
      </c>
      <c r="K66" s="49" t="s">
        <v>486</v>
      </c>
      <c r="L66" s="74">
        <f>IF(F66="Schraube",INDEX(Dropdown!$Q$5:$V$33,MATCH(Normteile!H66,Dropdown!$P$5:$P$33,0),MATCH(Normteile!K66,Dropdown!$Q$4:$V$4,0)),"-")</f>
        <v>10.25</v>
      </c>
      <c r="M66" s="16" t="s">
        <v>391</v>
      </c>
      <c r="N66" s="16" t="s">
        <v>175</v>
      </c>
      <c r="O66" s="188" t="s">
        <v>617</v>
      </c>
      <c r="P66" s="9">
        <v>8.0000000000000002E-3</v>
      </c>
      <c r="Q66" s="16" t="s">
        <v>618</v>
      </c>
    </row>
    <row r="67" spans="1:18">
      <c r="A67" s="16">
        <v>62</v>
      </c>
      <c r="B67" s="16" t="s">
        <v>619</v>
      </c>
      <c r="C67" s="45" t="s">
        <v>620</v>
      </c>
      <c r="D67" s="45" t="s">
        <v>0</v>
      </c>
      <c r="E67" s="45" t="e">
        <f>SUMIF(#REF!,Normteile!C67,#REF!)</f>
        <v>#REF!</v>
      </c>
      <c r="F67" s="9" t="s">
        <v>386</v>
      </c>
      <c r="G67" s="16" t="s">
        <v>594</v>
      </c>
      <c r="H67" s="9" t="s">
        <v>399</v>
      </c>
      <c r="I67" s="16">
        <v>25</v>
      </c>
      <c r="J67" s="17" t="s">
        <v>595</v>
      </c>
      <c r="K67" s="49" t="s">
        <v>486</v>
      </c>
      <c r="L67" s="74">
        <f>IF(F67="Schraube",INDEX(Dropdown!$Q$5:$V$33,MATCH(Normteile!H67,Dropdown!$P$5:$P$33,0),MATCH(Normteile!K67,Dropdown!$Q$4:$V$4,0)),"-")</f>
        <v>10.25</v>
      </c>
      <c r="M67" s="16" t="s">
        <v>391</v>
      </c>
      <c r="N67" s="16" t="s">
        <v>175</v>
      </c>
      <c r="O67" s="188" t="s">
        <v>621</v>
      </c>
      <c r="P67" s="9" t="s">
        <v>43</v>
      </c>
      <c r="Q67" s="16" t="s">
        <v>622</v>
      </c>
    </row>
    <row r="68" spans="1:18">
      <c r="A68" s="16">
        <v>63</v>
      </c>
      <c r="B68" s="16" t="s">
        <v>623</v>
      </c>
      <c r="C68" s="45" t="s">
        <v>624</v>
      </c>
      <c r="D68" s="45" t="s">
        <v>0</v>
      </c>
      <c r="E68" s="45" t="e">
        <f>SUMIF(#REF!,Normteile!C68,#REF!)</f>
        <v>#REF!</v>
      </c>
      <c r="F68" s="9" t="s">
        <v>386</v>
      </c>
      <c r="G68" s="16" t="s">
        <v>594</v>
      </c>
      <c r="H68" s="9" t="s">
        <v>399</v>
      </c>
      <c r="I68" s="16">
        <v>35</v>
      </c>
      <c r="J68" s="17" t="s">
        <v>595</v>
      </c>
      <c r="K68" s="49" t="s">
        <v>486</v>
      </c>
      <c r="L68" s="74">
        <f>IF(F68="Schraube",INDEX(Dropdown!$Q$5:$V$33,MATCH(Normteile!H68,Dropdown!$P$5:$P$33,0),MATCH(Normteile!K68,Dropdown!$Q$4:$V$4,0)),"-")</f>
        <v>10.25</v>
      </c>
      <c r="M68" s="16" t="s">
        <v>391</v>
      </c>
      <c r="N68" s="16" t="s">
        <v>175</v>
      </c>
      <c r="O68" s="188" t="s">
        <v>625</v>
      </c>
      <c r="P68" s="9" t="s">
        <v>43</v>
      </c>
      <c r="Q68" s="16" t="s">
        <v>626</v>
      </c>
    </row>
    <row r="69" spans="1:18">
      <c r="A69" s="16">
        <v>64</v>
      </c>
      <c r="B69" s="16" t="s">
        <v>314</v>
      </c>
      <c r="C69" s="45" t="s">
        <v>627</v>
      </c>
      <c r="D69" s="45">
        <v>91908673</v>
      </c>
      <c r="E69" s="45" t="e">
        <f>SUMIF(#REF!,Normteile!C69,#REF!)</f>
        <v>#REF!</v>
      </c>
      <c r="F69" s="9" t="s">
        <v>386</v>
      </c>
      <c r="G69" s="16" t="s">
        <v>594</v>
      </c>
      <c r="H69" s="9" t="s">
        <v>403</v>
      </c>
      <c r="I69" s="16">
        <v>16</v>
      </c>
      <c r="J69" s="17" t="s">
        <v>595</v>
      </c>
      <c r="K69" s="49" t="s">
        <v>486</v>
      </c>
      <c r="L69" s="74">
        <f>IF(F69="Schraube",INDEX(Dropdown!$Q$5:$V$33,MATCH(Normteile!H69,Dropdown!$P$5:$P$33,0),MATCH(Normteile!K69,Dropdown!$Q$4:$V$4,0)),"-")</f>
        <v>24.93</v>
      </c>
      <c r="M69" s="16" t="s">
        <v>391</v>
      </c>
      <c r="N69" s="16" t="s">
        <v>175</v>
      </c>
      <c r="O69" s="188" t="s">
        <v>628</v>
      </c>
      <c r="P69" s="9">
        <v>1.4E-2</v>
      </c>
      <c r="Q69" s="16" t="s">
        <v>629</v>
      </c>
    </row>
    <row r="70" spans="1:18">
      <c r="A70" s="16">
        <v>65</v>
      </c>
      <c r="B70" s="16" t="s">
        <v>160</v>
      </c>
      <c r="C70" s="45" t="s">
        <v>630</v>
      </c>
      <c r="D70" s="45">
        <v>91908655</v>
      </c>
      <c r="E70" s="45" t="e">
        <f>SUMIF(#REF!,Normteile!C70,#REF!)</f>
        <v>#REF!</v>
      </c>
      <c r="F70" s="9" t="s">
        <v>386</v>
      </c>
      <c r="G70" s="16" t="s">
        <v>594</v>
      </c>
      <c r="H70" s="9" t="s">
        <v>403</v>
      </c>
      <c r="I70" s="16">
        <v>25</v>
      </c>
      <c r="J70" s="17" t="s">
        <v>595</v>
      </c>
      <c r="K70" s="49" t="s">
        <v>486</v>
      </c>
      <c r="L70" s="74">
        <f>IF(F70="Schraube",INDEX(Dropdown!$Q$5:$V$33,MATCH(Normteile!H70,Dropdown!$P$5:$P$33,0),MATCH(Normteile!K70,Dropdown!$Q$4:$V$4,0)),"-")</f>
        <v>24.93</v>
      </c>
      <c r="M70" s="16" t="s">
        <v>391</v>
      </c>
      <c r="N70" s="16" t="s">
        <v>175</v>
      </c>
      <c r="O70" s="188" t="s">
        <v>631</v>
      </c>
      <c r="P70" s="9">
        <v>1.7000000000000001E-2</v>
      </c>
      <c r="Q70" s="16" t="s">
        <v>632</v>
      </c>
    </row>
    <row r="71" spans="1:18">
      <c r="A71" s="16">
        <v>66</v>
      </c>
      <c r="B71" s="16" t="s">
        <v>633</v>
      </c>
      <c r="C71" s="45" t="s">
        <v>634</v>
      </c>
      <c r="D71" s="45" t="s">
        <v>0</v>
      </c>
      <c r="E71" s="45" t="e">
        <f>SUMIF(#REF!,Normteile!C71,#REF!)</f>
        <v>#REF!</v>
      </c>
      <c r="F71" s="9" t="s">
        <v>386</v>
      </c>
      <c r="G71" s="16" t="s">
        <v>594</v>
      </c>
      <c r="H71" s="9" t="s">
        <v>403</v>
      </c>
      <c r="I71" s="16">
        <v>30</v>
      </c>
      <c r="J71" s="17" t="s">
        <v>595</v>
      </c>
      <c r="K71" s="49" t="s">
        <v>486</v>
      </c>
      <c r="L71" s="74">
        <f>IF(F71="Schraube",INDEX(Dropdown!$Q$5:$V$33,MATCH(Normteile!H71,Dropdown!$P$5:$P$33,0),MATCH(Normteile!K71,Dropdown!$Q$4:$V$4,0)),"-")</f>
        <v>24.93</v>
      </c>
      <c r="M71" s="16" t="s">
        <v>391</v>
      </c>
      <c r="N71" s="16" t="s">
        <v>175</v>
      </c>
      <c r="O71" s="188" t="s">
        <v>635</v>
      </c>
      <c r="P71" s="9" t="s">
        <v>43</v>
      </c>
      <c r="Q71" s="16" t="s">
        <v>636</v>
      </c>
    </row>
    <row r="72" spans="1:18">
      <c r="A72" s="16">
        <v>67</v>
      </c>
      <c r="B72" s="16" t="s">
        <v>182</v>
      </c>
      <c r="C72" s="45" t="s">
        <v>181</v>
      </c>
      <c r="D72" s="45">
        <v>91914019</v>
      </c>
      <c r="E72" s="45" t="e">
        <f>SUMIF(#REF!,Normteile!C72,#REF!)</f>
        <v>#REF!</v>
      </c>
      <c r="F72" s="9" t="s">
        <v>386</v>
      </c>
      <c r="G72" s="16" t="s">
        <v>594</v>
      </c>
      <c r="H72" s="9" t="s">
        <v>403</v>
      </c>
      <c r="I72" s="16">
        <v>45</v>
      </c>
      <c r="J72" s="17" t="s">
        <v>595</v>
      </c>
      <c r="K72" s="49" t="s">
        <v>486</v>
      </c>
      <c r="L72" s="74">
        <f>IF(F72="Schraube",INDEX(Dropdown!$Q$5:$V$33,MATCH(Normteile!H72,Dropdown!$P$5:$P$33,0),MATCH(Normteile!K72,Dropdown!$Q$4:$V$4,0)),"-")</f>
        <v>24.93</v>
      </c>
      <c r="M72" s="16" t="s">
        <v>391</v>
      </c>
      <c r="N72" s="16" t="s">
        <v>175</v>
      </c>
      <c r="O72" s="188" t="s">
        <v>637</v>
      </c>
      <c r="P72" s="9">
        <v>2.5000000000000001E-2</v>
      </c>
      <c r="Q72" s="16" t="s">
        <v>638</v>
      </c>
    </row>
    <row r="73" spans="1:18">
      <c r="A73" s="16">
        <v>68</v>
      </c>
      <c r="B73" s="16" t="s">
        <v>158</v>
      </c>
      <c r="C73" s="45" t="s">
        <v>639</v>
      </c>
      <c r="D73" s="45">
        <v>91908666</v>
      </c>
      <c r="E73" s="45" t="e">
        <f>SUMIF(#REF!,Normteile!C73,#REF!)</f>
        <v>#REF!</v>
      </c>
      <c r="F73" s="9" t="s">
        <v>386</v>
      </c>
      <c r="G73" s="16" t="s">
        <v>612</v>
      </c>
      <c r="H73" s="9" t="s">
        <v>403</v>
      </c>
      <c r="I73" s="16">
        <v>60</v>
      </c>
      <c r="J73" s="17" t="s">
        <v>640</v>
      </c>
      <c r="K73" s="49" t="s">
        <v>486</v>
      </c>
      <c r="L73" s="74">
        <f>IF(F73="Schraube",INDEX(Dropdown!$Q$5:$V$33,MATCH(Normteile!H73,Dropdown!$P$5:$P$33,0),MATCH(Normteile!K73,Dropdown!$Q$4:$V$4,0)),"-")</f>
        <v>24.93</v>
      </c>
      <c r="M73" s="16" t="s">
        <v>391</v>
      </c>
      <c r="N73" s="16" t="s">
        <v>175</v>
      </c>
      <c r="O73" s="188" t="s">
        <v>641</v>
      </c>
      <c r="P73" s="9">
        <v>2.8000000000000001E-2</v>
      </c>
      <c r="Q73" s="16" t="s">
        <v>642</v>
      </c>
    </row>
    <row r="74" spans="1:18">
      <c r="A74" s="16">
        <v>69</v>
      </c>
      <c r="B74" s="16" t="s">
        <v>643</v>
      </c>
      <c r="C74" s="45" t="s">
        <v>644</v>
      </c>
      <c r="D74" s="45" t="s">
        <v>0</v>
      </c>
      <c r="E74" s="45" t="e">
        <f>SUMIF(#REF!,Normteile!C74,#REF!)</f>
        <v>#REF!</v>
      </c>
      <c r="F74" s="9" t="s">
        <v>645</v>
      </c>
      <c r="G74" s="16" t="s">
        <v>646</v>
      </c>
      <c r="I74" s="16">
        <v>14</v>
      </c>
      <c r="J74" s="17" t="s">
        <v>647</v>
      </c>
      <c r="L74" s="74" t="str">
        <f>IF(F74="Schraube",INDEX(Dropdown!$Q$5:$V$33,MATCH(Normteile!H74,Dropdown!$P$5:$P$33,0),MATCH(Normteile!K74,Dropdown!$Q$4:$V$4,0)),"-")</f>
        <v>-</v>
      </c>
      <c r="N74" s="16" t="s">
        <v>175</v>
      </c>
      <c r="O74" s="188" t="s">
        <v>648</v>
      </c>
      <c r="P74" s="9" t="s">
        <v>43</v>
      </c>
      <c r="Q74" s="16" t="s">
        <v>649</v>
      </c>
    </row>
    <row r="75" spans="1:18">
      <c r="A75" s="16">
        <v>70</v>
      </c>
      <c r="B75" s="16" t="s">
        <v>650</v>
      </c>
      <c r="C75" s="45" t="s">
        <v>651</v>
      </c>
      <c r="D75" s="45" t="s">
        <v>0</v>
      </c>
      <c r="E75" s="45" t="e">
        <f>SUMIF(#REF!,Normteile!C75,#REF!)</f>
        <v>#REF!</v>
      </c>
      <c r="F75" s="9" t="s">
        <v>645</v>
      </c>
      <c r="G75" s="16" t="s">
        <v>646</v>
      </c>
      <c r="I75" s="16">
        <v>24</v>
      </c>
      <c r="J75" s="17" t="s">
        <v>647</v>
      </c>
      <c r="L75" s="74" t="str">
        <f>IF(F75="Schraube",INDEX(Dropdown!$Q$5:$V$33,MATCH(Normteile!H75,Dropdown!$P$5:$P$33,0),MATCH(Normteile!K75,Dropdown!$Q$4:$V$4,0)),"-")</f>
        <v>-</v>
      </c>
      <c r="N75" s="16" t="s">
        <v>175</v>
      </c>
      <c r="O75" s="188" t="s">
        <v>652</v>
      </c>
      <c r="P75" s="9" t="s">
        <v>43</v>
      </c>
      <c r="Q75" s="16" t="s">
        <v>653</v>
      </c>
    </row>
    <row r="76" spans="1:18">
      <c r="A76" s="16">
        <v>71</v>
      </c>
      <c r="B76" s="16" t="s">
        <v>165</v>
      </c>
      <c r="C76" s="45" t="s">
        <v>336</v>
      </c>
      <c r="D76" s="45">
        <v>91907565</v>
      </c>
      <c r="E76" s="45" t="e">
        <f>SUMIF(#REF!,Normteile!C76,#REF!)</f>
        <v>#REF!</v>
      </c>
      <c r="F76" s="9" t="s">
        <v>654</v>
      </c>
      <c r="G76" s="16" t="s">
        <v>655</v>
      </c>
      <c r="I76" s="16">
        <v>25</v>
      </c>
      <c r="L76" s="74" t="str">
        <f>IF(F76="Schraube",INDEX(Dropdown!$Q$5:$V$33,MATCH(Normteile!H76,Dropdown!$P$5:$P$33,0),MATCH(Normteile!K76,Dropdown!$Q$4:$V$4,0)),"-")</f>
        <v>-</v>
      </c>
      <c r="N76" s="16" t="s">
        <v>654</v>
      </c>
      <c r="O76" s="188"/>
      <c r="P76" s="9">
        <v>4.0000000000000001E-3</v>
      </c>
      <c r="Q76" s="76" t="s">
        <v>656</v>
      </c>
    </row>
    <row r="77" spans="1:18">
      <c r="A77" s="16">
        <v>72</v>
      </c>
      <c r="B77" s="16" t="s">
        <v>325</v>
      </c>
      <c r="C77" s="45" t="s">
        <v>657</v>
      </c>
      <c r="D77" s="45">
        <v>91908683</v>
      </c>
      <c r="E77" s="45" t="e">
        <f>SUMIF(#REF!,Normteile!C77,#REF!)</f>
        <v>#REF!</v>
      </c>
      <c r="F77" s="9" t="s">
        <v>386</v>
      </c>
      <c r="G77" s="16" t="s">
        <v>484</v>
      </c>
      <c r="H77" s="9" t="s">
        <v>396</v>
      </c>
      <c r="I77" s="16">
        <v>55</v>
      </c>
      <c r="J77" s="17" t="s">
        <v>485</v>
      </c>
      <c r="K77" s="49" t="s">
        <v>486</v>
      </c>
      <c r="L77" s="74">
        <f>IF(F77="Schraube",INDEX(Dropdown!$Q$5:$V$33,MATCH(Normteile!H77,Dropdown!$P$5:$P$33,0),MATCH(Normteile!K77,Dropdown!$Q$4:$V$4,0)),"-")</f>
        <v>6.03</v>
      </c>
      <c r="M77" s="16" t="s">
        <v>391</v>
      </c>
      <c r="N77" s="16" t="s">
        <v>175</v>
      </c>
      <c r="O77" s="188" t="s">
        <v>658</v>
      </c>
      <c r="P77" s="9">
        <v>0.01</v>
      </c>
      <c r="Q77" s="16" t="s">
        <v>659</v>
      </c>
    </row>
    <row r="78" spans="1:18">
      <c r="A78" s="16">
        <v>73</v>
      </c>
      <c r="B78" s="16" t="s">
        <v>660</v>
      </c>
      <c r="C78" s="45" t="s">
        <v>661</v>
      </c>
      <c r="D78" s="45" t="s">
        <v>0</v>
      </c>
      <c r="E78" s="45" t="e">
        <f>SUMIF(#REF!,Normteile!C78,#REF!)</f>
        <v>#REF!</v>
      </c>
      <c r="F78" s="9" t="s">
        <v>662</v>
      </c>
      <c r="L78" s="74" t="str">
        <f>IF(F78="Schraube",INDEX(Dropdown!$Q$5:$V$33,MATCH(Normteile!H78,Dropdown!$P$5:$P$33,0),MATCH(Normteile!K78,Dropdown!$Q$4:$V$4,0)),"-")</f>
        <v>-</v>
      </c>
      <c r="N78" s="16" t="s">
        <v>663</v>
      </c>
      <c r="O78" s="188">
        <v>590016</v>
      </c>
      <c r="P78" s="9" t="s">
        <v>43</v>
      </c>
      <c r="Q78" s="16" t="s">
        <v>664</v>
      </c>
    </row>
    <row r="79" spans="1:18">
      <c r="A79" s="16">
        <v>74</v>
      </c>
      <c r="B79" s="39" t="s">
        <v>665</v>
      </c>
      <c r="C79" s="45" t="s">
        <v>666</v>
      </c>
      <c r="D79" s="45" t="s">
        <v>0</v>
      </c>
      <c r="E79" s="45" t="e">
        <f>SUMIF(#REF!,Normteile!C79,#REF!)</f>
        <v>#REF!</v>
      </c>
      <c r="F79" s="9" t="s">
        <v>667</v>
      </c>
      <c r="G79" s="16" t="s">
        <v>668</v>
      </c>
      <c r="L79" s="74" t="str">
        <f>IF(F79="Schraube",INDEX(Dropdown!$Q$5:$V$33,MATCH(Normteile!H79,Dropdown!$P$5:$P$33,0),MATCH(Normteile!K79,Dropdown!$Q$4:$V$4,0)),"-")</f>
        <v>-</v>
      </c>
      <c r="N79" s="16" t="s">
        <v>669</v>
      </c>
      <c r="O79" s="188" t="s">
        <v>670</v>
      </c>
      <c r="P79" s="9" t="s">
        <v>43</v>
      </c>
      <c r="Q79" s="16" t="s">
        <v>671</v>
      </c>
    </row>
    <row r="80" spans="1:18">
      <c r="A80" s="16">
        <v>75</v>
      </c>
      <c r="B80" s="25" t="s">
        <v>119</v>
      </c>
      <c r="C80" s="9" t="s">
        <v>118</v>
      </c>
      <c r="D80" s="45">
        <v>91908648</v>
      </c>
      <c r="E80" s="45" t="e">
        <f>SUMIF(#REF!,Normteile!C80,#REF!)</f>
        <v>#REF!</v>
      </c>
      <c r="F80" s="9" t="s">
        <v>672</v>
      </c>
      <c r="G80" s="16" t="s">
        <v>673</v>
      </c>
      <c r="H80" s="9" t="s">
        <v>403</v>
      </c>
      <c r="L80" s="74" t="str">
        <f>IF(F80="Schraube",INDEX(Dropdown!$Q$5:$V$33,MATCH(Normteile!H80,Dropdown!$P$5:$P$33,0),MATCH(Normteile!K80,Dropdown!$Q$4:$V$4,0)),"-")</f>
        <v>-</v>
      </c>
      <c r="M80" s="16" t="s">
        <v>391</v>
      </c>
      <c r="N80" s="16" t="s">
        <v>175</v>
      </c>
      <c r="O80" s="188">
        <v>23317080600</v>
      </c>
      <c r="P80" s="1">
        <v>7.0000000000000001E-3</v>
      </c>
      <c r="Q80" t="s">
        <v>674</v>
      </c>
      <c r="R80" s="16" t="s">
        <v>675</v>
      </c>
    </row>
    <row r="81" spans="1:18">
      <c r="A81" s="16">
        <v>76</v>
      </c>
      <c r="B81" s="41" t="s">
        <v>134</v>
      </c>
      <c r="C81" s="9" t="s">
        <v>192</v>
      </c>
      <c r="D81" s="45" t="s">
        <v>0</v>
      </c>
      <c r="E81" s="45" t="e">
        <f>SUMIF(#REF!,Normteile!C81,#REF!)</f>
        <v>#REF!</v>
      </c>
      <c r="F81" s="9" t="s">
        <v>672</v>
      </c>
      <c r="G81" s="16" t="s">
        <v>673</v>
      </c>
      <c r="H81" s="9" t="s">
        <v>403</v>
      </c>
      <c r="L81" s="74" t="str">
        <f>IF(F81="Schraube",INDEX(Dropdown!$Q$5:$V$33,MATCH(Normteile!H81,Dropdown!$P$5:$P$33,0),MATCH(Normteile!K81,Dropdown!$Q$4:$V$4,0)),"-")</f>
        <v>-</v>
      </c>
      <c r="M81" s="16" t="s">
        <v>391</v>
      </c>
      <c r="N81" s="16" t="s">
        <v>175</v>
      </c>
      <c r="O81" s="188">
        <v>23317080450</v>
      </c>
      <c r="P81" s="9">
        <v>7.0000000000000001E-3</v>
      </c>
      <c r="Q81" s="16" t="s">
        <v>676</v>
      </c>
      <c r="R81" s="16" t="s">
        <v>677</v>
      </c>
    </row>
    <row r="82" spans="1:18">
      <c r="A82" s="16">
        <v>77</v>
      </c>
      <c r="B82" s="16" t="s">
        <v>135</v>
      </c>
      <c r="C82" s="9" t="s">
        <v>678</v>
      </c>
      <c r="D82" s="45" t="s">
        <v>0</v>
      </c>
      <c r="E82" s="45" t="e">
        <f>SUMIF(#REF!,Normteile!C82,#REF!)</f>
        <v>#REF!</v>
      </c>
      <c r="F82" s="9" t="s">
        <v>679</v>
      </c>
      <c r="G82" s="9" t="s">
        <v>680</v>
      </c>
      <c r="L82" s="74" t="str">
        <f>IF(F82="Schraube",INDEX(Dropdown!$Q$5:$V$33,MATCH(Normteile!H82,Dropdown!$P$5:$P$33,0),MATCH(Normteile!K82,Dropdown!$Q$4:$V$4,0)),"-")</f>
        <v>-</v>
      </c>
      <c r="M82" s="16" t="s">
        <v>391</v>
      </c>
      <c r="N82" s="16" t="s">
        <v>175</v>
      </c>
      <c r="O82" s="188" t="s">
        <v>681</v>
      </c>
      <c r="P82" s="93" t="s">
        <v>682</v>
      </c>
      <c r="Q82" s="76" t="s">
        <v>683</v>
      </c>
      <c r="R82" s="16" t="s">
        <v>684</v>
      </c>
    </row>
    <row r="83" spans="1:18">
      <c r="A83" s="16">
        <v>78</v>
      </c>
      <c r="B83" s="16" t="s">
        <v>136</v>
      </c>
      <c r="C83" s="9" t="s">
        <v>685</v>
      </c>
      <c r="D83" s="45">
        <v>91908670</v>
      </c>
      <c r="E83" s="45" t="e">
        <f>SUMIF(#REF!,Normteile!C83,#REF!)</f>
        <v>#REF!</v>
      </c>
      <c r="F83" s="9" t="s">
        <v>386</v>
      </c>
      <c r="G83" s="16" t="s">
        <v>594</v>
      </c>
      <c r="H83" s="9" t="s">
        <v>403</v>
      </c>
      <c r="I83" s="16">
        <v>25</v>
      </c>
      <c r="J83" s="17" t="s">
        <v>595</v>
      </c>
      <c r="K83" s="49" t="s">
        <v>486</v>
      </c>
      <c r="L83" s="74">
        <f>IF(F83="Schraube",INDEX(Dropdown!$Q$5:$V$33,MATCH(Normteile!H83,Dropdown!$P$5:$P$33,0),MATCH(Normteile!K83,Dropdown!$Q$4:$V$4,0)),"-")</f>
        <v>24.93</v>
      </c>
      <c r="M83" s="16" t="s">
        <v>391</v>
      </c>
      <c r="N83" s="16" t="s">
        <v>175</v>
      </c>
      <c r="O83" s="188" t="s">
        <v>631</v>
      </c>
      <c r="P83" s="1">
        <v>1.7000000000000001E-2</v>
      </c>
      <c r="Q83" s="76" t="s">
        <v>686</v>
      </c>
    </row>
    <row r="84" spans="1:18">
      <c r="A84" s="16">
        <v>79</v>
      </c>
      <c r="B84" s="16" t="s">
        <v>138</v>
      </c>
      <c r="C84" s="9" t="s">
        <v>687</v>
      </c>
      <c r="D84" s="45" t="s">
        <v>0</v>
      </c>
      <c r="E84" s="45" t="e">
        <f>SUMIF(#REF!,Normteile!C84,#REF!)</f>
        <v>#REF!</v>
      </c>
      <c r="F84" s="9" t="s">
        <v>645</v>
      </c>
      <c r="G84" s="16" t="s">
        <v>688</v>
      </c>
      <c r="I84" s="16">
        <v>30</v>
      </c>
      <c r="J84" s="17" t="s">
        <v>689</v>
      </c>
      <c r="L84" s="74" t="str">
        <f>IF(F84="Schraube",INDEX(Dropdown!$Q$5:$V$33,MATCH(Normteile!H84,Dropdown!$P$5:$P$33,0),MATCH(Normteile!K84,Dropdown!$Q$4:$V$4,0)),"-")</f>
        <v>-</v>
      </c>
      <c r="N84" s="16" t="s">
        <v>175</v>
      </c>
      <c r="O84" s="188" t="s">
        <v>690</v>
      </c>
      <c r="P84" s="93" t="s">
        <v>691</v>
      </c>
      <c r="Q84" s="16" t="s">
        <v>692</v>
      </c>
    </row>
    <row r="85" spans="1:18">
      <c r="A85" s="16">
        <v>80</v>
      </c>
      <c r="B85" s="16" t="s">
        <v>47</v>
      </c>
      <c r="C85" s="9" t="s">
        <v>693</v>
      </c>
      <c r="D85" s="45">
        <v>91908649</v>
      </c>
      <c r="E85" s="45" t="e">
        <f>SUMIF(#REF!,Normteile!C85,#REF!)</f>
        <v>#REF!</v>
      </c>
      <c r="F85" s="9" t="s">
        <v>454</v>
      </c>
      <c r="G85" s="16" t="s">
        <v>694</v>
      </c>
      <c r="H85" s="9" t="s">
        <v>403</v>
      </c>
      <c r="L85" s="74" t="str">
        <f>IF(F85="Schraube",INDEX(Dropdown!$Q$5:$V$33,MATCH(Normteile!H85,Dropdown!$P$5:$P$33,0),MATCH(Normteile!K85,Dropdown!$Q$4:$V$4,0)),"-")</f>
        <v>-</v>
      </c>
      <c r="M85" s="16" t="s">
        <v>391</v>
      </c>
      <c r="N85" s="16" t="s">
        <v>175</v>
      </c>
      <c r="O85" s="188" t="s">
        <v>695</v>
      </c>
      <c r="P85" s="9">
        <v>5.0000000000000001E-3</v>
      </c>
      <c r="Q85" s="16" t="s">
        <v>696</v>
      </c>
    </row>
    <row r="86" spans="1:18">
      <c r="A86" s="16">
        <v>81</v>
      </c>
      <c r="B86" s="16" t="s">
        <v>127</v>
      </c>
      <c r="C86" s="9" t="s">
        <v>126</v>
      </c>
      <c r="D86" s="45">
        <v>91908650</v>
      </c>
      <c r="E86" s="45" t="e">
        <f>SUMIF(#REF!,Normteile!C86,#REF!)</f>
        <v>#REF!</v>
      </c>
      <c r="F86" s="9" t="s">
        <v>672</v>
      </c>
      <c r="G86" s="16" t="s">
        <v>673</v>
      </c>
      <c r="H86" s="9" t="s">
        <v>396</v>
      </c>
      <c r="L86" s="74" t="str">
        <f>IF(F86="Schraube",INDEX(Dropdown!$Q$5:$V$33,MATCH(Normteile!H86,Dropdown!$P$5:$P$33,0),MATCH(Normteile!K86,Dropdown!$Q$4:$V$4,0)),"-")</f>
        <v>-</v>
      </c>
      <c r="M86" s="16" t="s">
        <v>391</v>
      </c>
      <c r="N86" s="16" t="s">
        <v>175</v>
      </c>
      <c r="O86" s="188">
        <v>23317050500</v>
      </c>
      <c r="P86" s="9">
        <v>2E-3</v>
      </c>
      <c r="Q86" s="16" t="s">
        <v>697</v>
      </c>
      <c r="R86" s="16" t="s">
        <v>698</v>
      </c>
    </row>
    <row r="87" spans="1:18">
      <c r="A87" s="16">
        <v>82</v>
      </c>
      <c r="B87" s="16" t="s">
        <v>290</v>
      </c>
      <c r="C87" s="9" t="s">
        <v>699</v>
      </c>
      <c r="D87" s="45">
        <v>91908651</v>
      </c>
      <c r="E87" s="45" t="e">
        <f>SUMIF(#REF!,Normteile!C87,#REF!)</f>
        <v>#REF!</v>
      </c>
      <c r="F87" s="9" t="s">
        <v>454</v>
      </c>
      <c r="G87" s="16" t="s">
        <v>700</v>
      </c>
      <c r="H87" s="9" t="s">
        <v>426</v>
      </c>
      <c r="L87" s="74" t="str">
        <f>IF(F87="Schraube",INDEX(Dropdown!$Q$5:$V$33,MATCH(Normteile!H87,Dropdown!$P$5:$P$33,0),MATCH(Normteile!K87,Dropdown!$Q$4:$V$4,0)),"-")</f>
        <v>-</v>
      </c>
      <c r="M87" s="16" t="s">
        <v>391</v>
      </c>
      <c r="N87" s="16" t="s">
        <v>701</v>
      </c>
      <c r="O87" s="189" t="s">
        <v>702</v>
      </c>
      <c r="P87" s="94">
        <v>8.0000000000000002E-3</v>
      </c>
      <c r="Q87" s="16" t="s">
        <v>703</v>
      </c>
    </row>
    <row r="88" spans="1:18">
      <c r="A88" s="16">
        <v>83</v>
      </c>
      <c r="B88" s="16" t="s">
        <v>291</v>
      </c>
      <c r="C88" s="9" t="s">
        <v>704</v>
      </c>
      <c r="D88" s="45">
        <v>91908652</v>
      </c>
      <c r="E88" s="45" t="e">
        <f>SUMIF(#REF!,Normteile!C88,#REF!)</f>
        <v>#REF!</v>
      </c>
      <c r="F88" s="9" t="s">
        <v>672</v>
      </c>
      <c r="G88" s="16" t="s">
        <v>673</v>
      </c>
      <c r="H88" s="9" t="s">
        <v>426</v>
      </c>
      <c r="L88" s="74" t="str">
        <f>IF(F88="Schraube",INDEX(Dropdown!$Q$5:$V$33,MATCH(Normteile!H88,Dropdown!$P$5:$P$33,0),MATCH(Normteile!K88,Dropdown!$Q$4:$V$4,0)),"-")</f>
        <v>-</v>
      </c>
      <c r="M88" s="16" t="s">
        <v>391</v>
      </c>
      <c r="N88" s="16" t="s">
        <v>175</v>
      </c>
      <c r="O88" s="188">
        <v>23317100600</v>
      </c>
      <c r="P88" s="9">
        <v>0.01</v>
      </c>
      <c r="Q88" s="16" t="s">
        <v>705</v>
      </c>
      <c r="R88" s="16" t="s">
        <v>706</v>
      </c>
    </row>
    <row r="89" spans="1:18">
      <c r="A89" s="16">
        <v>84</v>
      </c>
      <c r="B89" s="16" t="s">
        <v>292</v>
      </c>
      <c r="C89" s="9" t="s">
        <v>707</v>
      </c>
      <c r="D89" s="45">
        <v>91908656</v>
      </c>
      <c r="E89" s="45" t="e">
        <f>SUMIF(#REF!,Normteile!C89,#REF!)</f>
        <v>#REF!</v>
      </c>
      <c r="F89" s="9" t="s">
        <v>386</v>
      </c>
      <c r="G89" s="16" t="s">
        <v>484</v>
      </c>
      <c r="H89" s="9" t="s">
        <v>396</v>
      </c>
      <c r="I89" s="16">
        <v>20</v>
      </c>
      <c r="J89" s="17" t="s">
        <v>485</v>
      </c>
      <c r="K89" s="49" t="s">
        <v>486</v>
      </c>
      <c r="L89" s="74">
        <f>IF(F89="Schraube",INDEX(Dropdown!$Q$5:$V$33,MATCH(Normteile!H89,Dropdown!$P$5:$P$33,0),MATCH(Normteile!K89,Dropdown!$Q$4:$V$4,0)),"-")</f>
        <v>6.03</v>
      </c>
      <c r="M89" s="16" t="s">
        <v>391</v>
      </c>
      <c r="N89" s="16" t="s">
        <v>175</v>
      </c>
      <c r="O89" s="188" t="s">
        <v>708</v>
      </c>
      <c r="P89" s="9">
        <v>5.0000000000000001E-3</v>
      </c>
      <c r="Q89" s="16" t="s">
        <v>709</v>
      </c>
    </row>
    <row r="90" spans="1:18">
      <c r="A90" s="16">
        <v>85</v>
      </c>
      <c r="B90" s="16" t="s">
        <v>294</v>
      </c>
      <c r="C90" s="9" t="s">
        <v>710</v>
      </c>
      <c r="D90" s="45">
        <v>91908658</v>
      </c>
      <c r="E90" s="45" t="e">
        <f>SUMIF(#REF!,Normteile!C90,#REF!)</f>
        <v>#REF!</v>
      </c>
      <c r="F90" s="9" t="s">
        <v>386</v>
      </c>
      <c r="G90" s="16" t="s">
        <v>594</v>
      </c>
      <c r="H90" s="9" t="s">
        <v>403</v>
      </c>
      <c r="I90" s="16">
        <v>25</v>
      </c>
      <c r="J90" s="17" t="s">
        <v>595</v>
      </c>
      <c r="K90" s="49" t="s">
        <v>390</v>
      </c>
      <c r="L90" s="74">
        <f>IF(F90="Schraube",INDEX(Dropdown!$Q$5:$V$33,MATCH(Normteile!H90,Dropdown!$P$5:$P$33,0),MATCH(Normteile!K90,Dropdown!$Q$4:$V$4,0)),"-")</f>
        <v>35.06</v>
      </c>
      <c r="M90" s="16" t="s">
        <v>391</v>
      </c>
      <c r="N90" s="16" t="s">
        <v>175</v>
      </c>
      <c r="O90" s="188" t="s">
        <v>711</v>
      </c>
      <c r="P90" s="9">
        <v>1.7000000000000001E-2</v>
      </c>
      <c r="Q90" s="16" t="s">
        <v>712</v>
      </c>
    </row>
    <row r="91" spans="1:18">
      <c r="A91" s="16">
        <v>86</v>
      </c>
      <c r="B91" s="16" t="s">
        <v>296</v>
      </c>
      <c r="C91" s="9" t="s">
        <v>713</v>
      </c>
      <c r="D91" s="45">
        <v>91908660</v>
      </c>
      <c r="E91" s="45" t="e">
        <f>SUMIF(#REF!,Normteile!C91,#REF!)</f>
        <v>#REF!</v>
      </c>
      <c r="F91" s="9" t="s">
        <v>454</v>
      </c>
      <c r="G91" s="16" t="s">
        <v>714</v>
      </c>
      <c r="H91" s="9" t="s">
        <v>715</v>
      </c>
      <c r="K91" s="49" t="s">
        <v>716</v>
      </c>
      <c r="L91" s="74" t="str">
        <f>IF(F91="Schraube",INDEX(Dropdown!$Q$5:$V$33,MATCH(Normteile!H91,Dropdown!$P$5:$P$33,0),MATCH(Normteile!K91,Dropdown!$Q$4:$V$4,0)),"-")</f>
        <v>-</v>
      </c>
      <c r="N91" s="16" t="s">
        <v>420</v>
      </c>
      <c r="O91" s="188" t="s">
        <v>717</v>
      </c>
      <c r="P91" s="9">
        <v>5.8000000000000003E-2</v>
      </c>
      <c r="Q91" s="16" t="s">
        <v>718</v>
      </c>
    </row>
    <row r="92" spans="1:18">
      <c r="A92" s="16">
        <v>87</v>
      </c>
      <c r="B92" s="16" t="s">
        <v>312</v>
      </c>
      <c r="C92" s="9" t="s">
        <v>719</v>
      </c>
      <c r="D92" s="45">
        <v>91908661</v>
      </c>
      <c r="E92" s="45" t="e">
        <f>SUMIF(#REF!,Normteile!C92,#REF!)</f>
        <v>#REF!</v>
      </c>
      <c r="F92" s="9" t="s">
        <v>386</v>
      </c>
      <c r="G92" s="16" t="s">
        <v>594</v>
      </c>
      <c r="H92" s="9" t="s">
        <v>403</v>
      </c>
      <c r="I92" s="16">
        <v>55</v>
      </c>
      <c r="J92" s="17" t="s">
        <v>595</v>
      </c>
      <c r="K92" s="49" t="s">
        <v>486</v>
      </c>
      <c r="L92" s="74">
        <f>IF(F92="Schraube",INDEX(Dropdown!$Q$5:$V$33,MATCH(Normteile!H92,Dropdown!$P$5:$P$33,0),MATCH(Normteile!K92,Dropdown!$Q$4:$V$4,0)),"-")</f>
        <v>24.93</v>
      </c>
      <c r="M92" s="16" t="s">
        <v>391</v>
      </c>
      <c r="N92" s="16" t="s">
        <v>663</v>
      </c>
      <c r="O92" s="188" t="s">
        <v>720</v>
      </c>
      <c r="P92" s="9">
        <v>2.9000000000000001E-2</v>
      </c>
      <c r="Q92" s="16" t="s">
        <v>721</v>
      </c>
    </row>
    <row r="93" spans="1:18">
      <c r="A93" s="16">
        <v>88</v>
      </c>
      <c r="B93" s="16" t="s">
        <v>148</v>
      </c>
      <c r="C93" s="9" t="s">
        <v>722</v>
      </c>
      <c r="D93" s="45">
        <v>91908662</v>
      </c>
      <c r="E93" s="45" t="e">
        <f>SUMIF(#REF!,Normteile!C93,#REF!)</f>
        <v>#REF!</v>
      </c>
      <c r="F93" s="9" t="s">
        <v>386</v>
      </c>
      <c r="G93" s="16" t="s">
        <v>723</v>
      </c>
      <c r="H93" s="9" t="s">
        <v>399</v>
      </c>
      <c r="I93" s="16">
        <v>25</v>
      </c>
      <c r="J93" s="17" t="s">
        <v>389</v>
      </c>
      <c r="K93" s="49" t="s">
        <v>390</v>
      </c>
      <c r="L93" s="74">
        <f>IF(F93="Schraube",INDEX(Dropdown!$Q$5:$V$33,MATCH(Normteile!H93,Dropdown!$P$5:$P$33,0),MATCH(Normteile!K93,Dropdown!$Q$4:$V$4,0)),"-")</f>
        <v>14.41</v>
      </c>
      <c r="M93" s="16" t="s">
        <v>391</v>
      </c>
      <c r="N93" s="16" t="s">
        <v>175</v>
      </c>
      <c r="O93" s="188" t="s">
        <v>724</v>
      </c>
      <c r="P93" s="9">
        <v>8.0000000000000002E-3</v>
      </c>
      <c r="Q93" s="16" t="s">
        <v>725</v>
      </c>
    </row>
    <row r="94" spans="1:18">
      <c r="A94" s="16">
        <v>89</v>
      </c>
      <c r="B94" s="16" t="s">
        <v>153</v>
      </c>
      <c r="C94" s="9" t="s">
        <v>726</v>
      </c>
      <c r="D94" s="45">
        <v>91946431</v>
      </c>
      <c r="E94" s="45" t="e">
        <f>SUMIF(#REF!,Normteile!C94,#REF!)</f>
        <v>#REF!</v>
      </c>
      <c r="F94" s="9" t="s">
        <v>386</v>
      </c>
      <c r="G94" s="16" t="s">
        <v>484</v>
      </c>
      <c r="H94" s="9" t="s">
        <v>403</v>
      </c>
      <c r="I94" s="16">
        <v>50</v>
      </c>
      <c r="J94" s="17" t="s">
        <v>485</v>
      </c>
      <c r="K94" s="49" t="s">
        <v>486</v>
      </c>
      <c r="L94" s="74">
        <f>IF(F94="Schraube",INDEX(Dropdown!$Q$5:$V$33,MATCH(Normteile!H94,Dropdown!$P$5:$P$33,0),MATCH(Normteile!K94,Dropdown!$Q$4:$V$4,0)),"-")</f>
        <v>24.93</v>
      </c>
      <c r="M94" s="16" t="s">
        <v>391</v>
      </c>
      <c r="N94" s="16" t="s">
        <v>175</v>
      </c>
      <c r="O94" s="188" t="s">
        <v>727</v>
      </c>
      <c r="P94" s="9">
        <v>2.5999999999999999E-2</v>
      </c>
      <c r="Q94" s="16" t="s">
        <v>728</v>
      </c>
    </row>
    <row r="95" spans="1:18">
      <c r="A95" s="16">
        <v>90</v>
      </c>
      <c r="B95" s="16" t="s">
        <v>300</v>
      </c>
      <c r="C95" s="9" t="s">
        <v>729</v>
      </c>
      <c r="D95" s="45" t="s">
        <v>0</v>
      </c>
      <c r="E95" s="45" t="e">
        <f>SUMIF(#REF!,Normteile!C95,#REF!)</f>
        <v>#REF!</v>
      </c>
      <c r="F95" s="9" t="s">
        <v>386</v>
      </c>
      <c r="G95" s="16" t="s">
        <v>594</v>
      </c>
      <c r="H95" s="9" t="s">
        <v>396</v>
      </c>
      <c r="I95" s="16">
        <v>20</v>
      </c>
      <c r="J95" s="17" t="s">
        <v>640</v>
      </c>
      <c r="K95" s="49" t="s">
        <v>486</v>
      </c>
      <c r="L95" s="74">
        <f>IF(F95="Schraube",INDEX(Dropdown!$Q$5:$V$33,MATCH(Normteile!H95,Dropdown!$P$5:$P$33,0),MATCH(Normteile!K95,Dropdown!$Q$4:$V$4,0)),"-")</f>
        <v>6.03</v>
      </c>
      <c r="M95" s="16" t="s">
        <v>391</v>
      </c>
      <c r="N95" s="16" t="s">
        <v>175</v>
      </c>
      <c r="O95" s="188" t="s">
        <v>730</v>
      </c>
      <c r="P95" s="9" t="s">
        <v>43</v>
      </c>
      <c r="Q95" s="16" t="s">
        <v>731</v>
      </c>
    </row>
    <row r="96" spans="1:18">
      <c r="A96" s="16">
        <v>91</v>
      </c>
      <c r="B96" s="16" t="s">
        <v>302</v>
      </c>
      <c r="C96" s="9" t="s">
        <v>732</v>
      </c>
      <c r="D96" s="45" t="s">
        <v>0</v>
      </c>
      <c r="E96" s="45" t="e">
        <f>SUMIF(#REF!,Normteile!C96,#REF!)</f>
        <v>#REF!</v>
      </c>
      <c r="F96" s="9" t="s">
        <v>386</v>
      </c>
      <c r="G96" s="16" t="s">
        <v>594</v>
      </c>
      <c r="H96" s="9" t="s">
        <v>396</v>
      </c>
      <c r="I96" s="16">
        <v>18</v>
      </c>
      <c r="J96" s="17" t="s">
        <v>595</v>
      </c>
      <c r="K96" s="49" t="s">
        <v>486</v>
      </c>
      <c r="L96" s="74">
        <f>IF(F96="Schraube",INDEX(Dropdown!$Q$5:$V$33,MATCH(Normteile!H96,Dropdown!$P$5:$P$33,0),MATCH(Normteile!K96,Dropdown!$Q$4:$V$4,0)),"-")</f>
        <v>6.03</v>
      </c>
      <c r="M96" s="16" t="s">
        <v>391</v>
      </c>
      <c r="N96" s="16" t="s">
        <v>175</v>
      </c>
      <c r="O96" s="188" t="s">
        <v>733</v>
      </c>
      <c r="P96" s="9" t="s">
        <v>43</v>
      </c>
      <c r="Q96" s="16" t="s">
        <v>734</v>
      </c>
    </row>
    <row r="97" spans="1:18">
      <c r="A97" s="16">
        <v>92</v>
      </c>
      <c r="B97" s="16" t="s">
        <v>159</v>
      </c>
      <c r="C97" s="9" t="s">
        <v>735</v>
      </c>
      <c r="D97" s="45">
        <v>91908664</v>
      </c>
      <c r="E97" s="45" t="e">
        <f>SUMIF(#REF!,Normteile!C97,#REF!)</f>
        <v>#REF!</v>
      </c>
      <c r="F97" s="9" t="s">
        <v>386</v>
      </c>
      <c r="G97" s="16" t="s">
        <v>594</v>
      </c>
      <c r="H97" s="9" t="s">
        <v>399</v>
      </c>
      <c r="I97" s="16">
        <v>45</v>
      </c>
      <c r="J97" s="17" t="s">
        <v>595</v>
      </c>
      <c r="K97" s="49" t="s">
        <v>486</v>
      </c>
      <c r="L97" s="74">
        <f>IF(F97="Schraube",INDEX(Dropdown!$Q$5:$V$33,MATCH(Normteile!H97,Dropdown!$P$5:$P$33,0),MATCH(Normteile!K97,Dropdown!$Q$4:$V$4,0)),"-")</f>
        <v>10.25</v>
      </c>
      <c r="M97" s="16" t="s">
        <v>391</v>
      </c>
      <c r="N97" s="16" t="s">
        <v>175</v>
      </c>
      <c r="O97" s="188" t="s">
        <v>736</v>
      </c>
      <c r="P97" s="9">
        <v>1.2999999999999999E-2</v>
      </c>
      <c r="Q97" s="16" t="s">
        <v>737</v>
      </c>
    </row>
    <row r="98" spans="1:18">
      <c r="A98" s="16">
        <v>93</v>
      </c>
      <c r="B98" s="16" t="s">
        <v>162</v>
      </c>
      <c r="C98" s="9" t="s">
        <v>738</v>
      </c>
      <c r="D98" s="45">
        <v>91908669</v>
      </c>
      <c r="E98" s="45" t="e">
        <f>SUMIF(#REF!,Normteile!C98,#REF!)</f>
        <v>#REF!</v>
      </c>
      <c r="F98" s="9" t="s">
        <v>386</v>
      </c>
      <c r="G98" s="16" t="s">
        <v>723</v>
      </c>
      <c r="H98" s="9" t="s">
        <v>396</v>
      </c>
      <c r="I98" s="16">
        <v>10</v>
      </c>
      <c r="J98" s="17" t="s">
        <v>389</v>
      </c>
      <c r="K98" s="49" t="s">
        <v>390</v>
      </c>
      <c r="L98" s="74">
        <f>IF(F98="Schraube",INDEX(Dropdown!$Q$5:$V$33,MATCH(Normteile!H98,Dropdown!$P$5:$P$33,0),MATCH(Normteile!K98,Dropdown!$Q$4:$V$4,0)),"-")</f>
        <v>8.48</v>
      </c>
      <c r="M98" s="16" t="s">
        <v>391</v>
      </c>
      <c r="N98" s="16" t="s">
        <v>175</v>
      </c>
      <c r="O98" s="188" t="s">
        <v>739</v>
      </c>
      <c r="P98" s="9">
        <v>3.0000000000000001E-3</v>
      </c>
      <c r="Q98" s="16" t="s">
        <v>740</v>
      </c>
    </row>
    <row r="99" spans="1:18">
      <c r="A99" s="16">
        <v>94</v>
      </c>
      <c r="B99" s="16" t="s">
        <v>741</v>
      </c>
      <c r="C99" s="9" t="s">
        <v>742</v>
      </c>
      <c r="D99" s="45" t="s">
        <v>0</v>
      </c>
      <c r="E99" s="45" t="e">
        <f>SUMIF(#REF!,Normteile!C99,#REF!)</f>
        <v>#REF!</v>
      </c>
      <c r="F99" s="9" t="s">
        <v>672</v>
      </c>
      <c r="G99" s="16" t="s">
        <v>743</v>
      </c>
      <c r="H99" s="9" t="s">
        <v>403</v>
      </c>
      <c r="L99" s="74" t="str">
        <f>IF(F99="Schraube",INDEX(Dropdown!$Q$5:$V$33,MATCH(Normteile!H99,Dropdown!$P$5:$P$33,0),MATCH(Normteile!K99,Dropdown!$Q$4:$V$4,0)),"-")</f>
        <v>-</v>
      </c>
      <c r="N99" s="16" t="s">
        <v>175</v>
      </c>
      <c r="O99" s="188"/>
      <c r="P99" s="9" t="s">
        <v>43</v>
      </c>
      <c r="Q99" s="16" t="s">
        <v>744</v>
      </c>
      <c r="R99" s="16" t="s">
        <v>745</v>
      </c>
    </row>
    <row r="100" spans="1:18">
      <c r="A100" s="16">
        <v>95</v>
      </c>
      <c r="B100" s="16" t="s">
        <v>313</v>
      </c>
      <c r="C100" s="9" t="s">
        <v>746</v>
      </c>
      <c r="D100" s="45">
        <v>91908671</v>
      </c>
      <c r="E100" s="45" t="e">
        <f>SUMIF(#REF!,Normteile!C100,#REF!)</f>
        <v>#REF!</v>
      </c>
      <c r="F100" s="9" t="s">
        <v>386</v>
      </c>
      <c r="G100" s="16" t="s">
        <v>594</v>
      </c>
      <c r="H100" s="9" t="s">
        <v>403</v>
      </c>
      <c r="I100" s="16">
        <v>65</v>
      </c>
      <c r="J100" s="17" t="s">
        <v>595</v>
      </c>
      <c r="K100" s="49" t="s">
        <v>486</v>
      </c>
      <c r="L100" s="74">
        <f>IF(F100="Schraube",INDEX(Dropdown!$Q$5:$V$33,MATCH(Normteile!H100,Dropdown!$P$5:$P$33,0),MATCH(Normteile!K100,Dropdown!$Q$4:$V$4,0)),"-")</f>
        <v>24.93</v>
      </c>
      <c r="M100" s="16" t="s">
        <v>391</v>
      </c>
      <c r="N100" s="16" t="s">
        <v>175</v>
      </c>
      <c r="O100" s="188" t="s">
        <v>747</v>
      </c>
      <c r="P100" s="9">
        <v>3.3000000000000002E-2</v>
      </c>
      <c r="Q100" s="16" t="s">
        <v>748</v>
      </c>
    </row>
    <row r="101" spans="1:18">
      <c r="A101" s="16">
        <v>96</v>
      </c>
      <c r="B101" s="16" t="s">
        <v>70</v>
      </c>
      <c r="C101" s="9" t="s">
        <v>749</v>
      </c>
      <c r="D101" s="45">
        <v>91908672</v>
      </c>
      <c r="E101" s="45" t="e">
        <f>SUMIF(#REF!,Normteile!C101,#REF!)</f>
        <v>#REF!</v>
      </c>
      <c r="F101" s="9" t="s">
        <v>454</v>
      </c>
      <c r="G101" s="16" t="s">
        <v>455</v>
      </c>
      <c r="H101" s="9" t="s">
        <v>403</v>
      </c>
      <c r="J101" s="17" t="s">
        <v>750</v>
      </c>
      <c r="K101" s="49" t="s">
        <v>129</v>
      </c>
      <c r="L101" s="74" t="str">
        <f>IF(F101="Schraube",INDEX(Dropdown!$Q$5:$V$33,MATCH(Normteile!H101,Dropdown!$P$5:$P$33,0),MATCH(Normteile!K101,Dropdown!$Q$4:$V$4,0)),"-")</f>
        <v>-</v>
      </c>
      <c r="M101" s="16" t="s">
        <v>391</v>
      </c>
      <c r="N101" s="16" t="s">
        <v>175</v>
      </c>
      <c r="O101" s="188" t="s">
        <v>751</v>
      </c>
      <c r="P101" s="9">
        <v>6.0000000000000001E-3</v>
      </c>
      <c r="Q101" s="16" t="s">
        <v>752</v>
      </c>
    </row>
    <row r="102" spans="1:18">
      <c r="A102" s="16">
        <v>97</v>
      </c>
      <c r="B102" s="16" t="s">
        <v>196</v>
      </c>
      <c r="C102" s="9" t="s">
        <v>195</v>
      </c>
      <c r="D102" s="45">
        <v>91908674</v>
      </c>
      <c r="E102" s="45" t="e">
        <f>SUMIF(#REF!,Normteile!C102,#REF!)</f>
        <v>#REF!</v>
      </c>
      <c r="F102" s="9" t="s">
        <v>386</v>
      </c>
      <c r="G102" s="16" t="s">
        <v>534</v>
      </c>
      <c r="H102" s="9" t="s">
        <v>403</v>
      </c>
      <c r="I102" s="16">
        <v>20</v>
      </c>
      <c r="J102" s="17" t="s">
        <v>535</v>
      </c>
      <c r="K102" s="49" t="s">
        <v>486</v>
      </c>
      <c r="L102" s="74">
        <f>IF(F102="Schraube",INDEX(Dropdown!$Q$5:$V$33,MATCH(Normteile!H102,Dropdown!$P$5:$P$33,0),MATCH(Normteile!K102,Dropdown!$Q$4:$V$4,0)),"-")</f>
        <v>24.93</v>
      </c>
      <c r="M102" s="16" t="s">
        <v>391</v>
      </c>
      <c r="N102" s="16" t="s">
        <v>175</v>
      </c>
      <c r="O102" s="188" t="s">
        <v>753</v>
      </c>
      <c r="P102" s="9">
        <v>0.01</v>
      </c>
      <c r="Q102" s="16" t="s">
        <v>754</v>
      </c>
    </row>
    <row r="103" spans="1:18">
      <c r="A103" s="16">
        <v>98</v>
      </c>
      <c r="B103" s="16" t="s">
        <v>310</v>
      </c>
      <c r="C103" s="9" t="s">
        <v>311</v>
      </c>
      <c r="D103" s="45">
        <v>91908675</v>
      </c>
      <c r="E103" s="45" t="e">
        <f>SUMIF(#REF!,Normteile!C103,#REF!)</f>
        <v>#REF!</v>
      </c>
      <c r="F103" s="9" t="s">
        <v>386</v>
      </c>
      <c r="G103" s="16" t="s">
        <v>484</v>
      </c>
      <c r="H103" s="9" t="s">
        <v>426</v>
      </c>
      <c r="I103" s="16">
        <v>90</v>
      </c>
      <c r="J103" s="17" t="s">
        <v>485</v>
      </c>
      <c r="K103" s="49" t="s">
        <v>486</v>
      </c>
      <c r="L103" s="74">
        <f>IF(F103="Schraube",INDEX(Dropdown!$Q$5:$V$33,MATCH(Normteile!H103,Dropdown!$P$5:$P$33,0),MATCH(Normteile!K103,Dropdown!$Q$4:$V$4,0)),"-")</f>
        <v>49</v>
      </c>
      <c r="M103" s="16" t="s">
        <v>391</v>
      </c>
      <c r="N103" s="16" t="s">
        <v>175</v>
      </c>
      <c r="O103" s="188" t="s">
        <v>755</v>
      </c>
      <c r="P103" s="9">
        <v>6.8000000000000005E-2</v>
      </c>
      <c r="Q103" s="16" t="s">
        <v>756</v>
      </c>
    </row>
    <row r="104" spans="1:18">
      <c r="A104" s="16">
        <v>99</v>
      </c>
      <c r="B104" s="16" t="s">
        <v>757</v>
      </c>
      <c r="C104" s="9" t="s">
        <v>758</v>
      </c>
      <c r="D104" s="45" t="s">
        <v>0</v>
      </c>
      <c r="E104" s="45" t="e">
        <f>SUMIF(#REF!,Normteile!C104,#REF!)</f>
        <v>#REF!</v>
      </c>
      <c r="F104" s="9" t="s">
        <v>386</v>
      </c>
      <c r="G104" s="16" t="s">
        <v>484</v>
      </c>
      <c r="H104" s="9" t="s">
        <v>426</v>
      </c>
      <c r="I104" s="16">
        <v>70</v>
      </c>
      <c r="J104" s="17" t="s">
        <v>485</v>
      </c>
      <c r="K104" s="49" t="s">
        <v>486</v>
      </c>
      <c r="L104" s="74">
        <f>IF(F104="Schraube",INDEX(Dropdown!$Q$5:$V$33,MATCH(Normteile!H104,Dropdown!$P$5:$P$33,0),MATCH(Normteile!K104,Dropdown!$Q$4:$V$4,0)),"-")</f>
        <v>49</v>
      </c>
      <c r="M104" s="16" t="s">
        <v>391</v>
      </c>
      <c r="N104" s="16" t="s">
        <v>175</v>
      </c>
      <c r="O104" s="188" t="s">
        <v>759</v>
      </c>
      <c r="P104" s="9" t="s">
        <v>43</v>
      </c>
      <c r="Q104" s="16" t="s">
        <v>760</v>
      </c>
    </row>
    <row r="105" spans="1:18">
      <c r="A105" s="16">
        <v>100</v>
      </c>
      <c r="B105" s="16" t="s">
        <v>317</v>
      </c>
      <c r="C105" s="9" t="s">
        <v>761</v>
      </c>
      <c r="D105" s="45" t="s">
        <v>0</v>
      </c>
      <c r="E105" s="45" t="e">
        <f>SUMIF(#REF!,Normteile!C105,#REF!)</f>
        <v>#REF!</v>
      </c>
      <c r="F105" s="9" t="s">
        <v>386</v>
      </c>
      <c r="G105" s="16" t="s">
        <v>534</v>
      </c>
      <c r="H105" s="9" t="s">
        <v>396</v>
      </c>
      <c r="I105" s="16">
        <v>18</v>
      </c>
      <c r="J105" s="17" t="s">
        <v>535</v>
      </c>
      <c r="K105" s="49" t="s">
        <v>486</v>
      </c>
      <c r="L105" s="74">
        <f>IF(F105="Schraube",INDEX(Dropdown!$Q$5:$V$33,MATCH(Normteile!H105,Dropdown!$P$5:$P$33,0),MATCH(Normteile!K105,Dropdown!$Q$4:$V$4,0)),"-")</f>
        <v>6.03</v>
      </c>
      <c r="M105" s="16" t="s">
        <v>391</v>
      </c>
      <c r="N105" s="16" t="s">
        <v>175</v>
      </c>
      <c r="O105" s="188" t="s">
        <v>762</v>
      </c>
      <c r="P105" s="9" t="s">
        <v>43</v>
      </c>
      <c r="Q105" s="16" t="s">
        <v>763</v>
      </c>
    </row>
    <row r="106" spans="1:18">
      <c r="A106" s="16">
        <v>101</v>
      </c>
      <c r="B106" s="16" t="s">
        <v>321</v>
      </c>
      <c r="C106" s="9" t="s">
        <v>764</v>
      </c>
      <c r="D106" s="45">
        <v>91908680</v>
      </c>
      <c r="E106" s="45" t="e">
        <f>SUMIF(#REF!,Normteile!C106,#REF!)</f>
        <v>#REF!</v>
      </c>
      <c r="F106" s="9" t="s">
        <v>386</v>
      </c>
      <c r="G106" s="16" t="s">
        <v>594</v>
      </c>
      <c r="H106" s="9" t="s">
        <v>396</v>
      </c>
      <c r="I106" s="16">
        <v>14</v>
      </c>
      <c r="J106" s="17" t="s">
        <v>765</v>
      </c>
      <c r="K106" s="49" t="s">
        <v>486</v>
      </c>
      <c r="L106" s="74">
        <f>IF(F106="Schraube",INDEX(Dropdown!$Q$5:$V$33,MATCH(Normteile!H106,Dropdown!$P$5:$P$33,0),MATCH(Normteile!K106,Dropdown!$Q$4:$V$4,0)),"-")</f>
        <v>6.03</v>
      </c>
      <c r="M106" s="16" t="s">
        <v>391</v>
      </c>
      <c r="N106" s="16" t="s">
        <v>175</v>
      </c>
      <c r="O106" s="188" t="s">
        <v>766</v>
      </c>
      <c r="P106" s="9">
        <v>4.0000000000000001E-3</v>
      </c>
      <c r="Q106" s="16" t="s">
        <v>767</v>
      </c>
    </row>
    <row r="107" spans="1:18">
      <c r="A107" s="16">
        <v>102</v>
      </c>
      <c r="B107" s="16" t="s">
        <v>49</v>
      </c>
      <c r="C107" s="9" t="s">
        <v>768</v>
      </c>
      <c r="D107" s="45">
        <v>91908687</v>
      </c>
      <c r="E107" s="45" t="e">
        <f>SUMIF(#REF!,Normteile!C107,#REF!)</f>
        <v>#REF!</v>
      </c>
      <c r="F107" s="9" t="s">
        <v>386</v>
      </c>
      <c r="G107" s="16" t="s">
        <v>484</v>
      </c>
      <c r="H107" s="9" t="s">
        <v>426</v>
      </c>
      <c r="I107" s="16">
        <v>170</v>
      </c>
      <c r="J107" s="17" t="s">
        <v>769</v>
      </c>
      <c r="K107" s="49" t="s">
        <v>486</v>
      </c>
      <c r="L107" s="74">
        <f>IF(F107="Schraube",INDEX(Dropdown!$Q$5:$V$33,MATCH(Normteile!H107,Dropdown!$P$5:$P$33,0),MATCH(Normteile!K107,Dropdown!$Q$4:$V$4,0)),"-")</f>
        <v>49</v>
      </c>
      <c r="M107" s="16" t="s">
        <v>391</v>
      </c>
      <c r="N107" s="16" t="s">
        <v>663</v>
      </c>
      <c r="O107" s="188">
        <v>57910170</v>
      </c>
      <c r="P107" s="1">
        <v>0.11600000000000001</v>
      </c>
      <c r="Q107" s="16" t="s">
        <v>770</v>
      </c>
    </row>
    <row r="108" spans="1:18">
      <c r="A108" s="16">
        <v>103</v>
      </c>
      <c r="B108" s="16" t="s">
        <v>293</v>
      </c>
      <c r="C108" s="9" t="s">
        <v>771</v>
      </c>
      <c r="D108" s="45">
        <v>91913976</v>
      </c>
      <c r="E108" s="45" t="e">
        <f>SUMIF(#REF!,Normteile!C108,#REF!)</f>
        <v>#REF!</v>
      </c>
      <c r="F108" s="9" t="s">
        <v>386</v>
      </c>
      <c r="G108" s="16" t="s">
        <v>484</v>
      </c>
      <c r="H108" s="9" t="s">
        <v>403</v>
      </c>
      <c r="I108" s="16">
        <v>20</v>
      </c>
      <c r="J108" s="17" t="s">
        <v>485</v>
      </c>
      <c r="K108" s="49" t="s">
        <v>486</v>
      </c>
      <c r="L108" s="74">
        <f>IF(F108="Schraube",INDEX(Dropdown!$Q$5:$V$33,MATCH(Normteile!H108,Dropdown!$P$5:$P$33,0),MATCH(Normteile!K108,Dropdown!$Q$4:$V$4,0)),"-")</f>
        <v>24.93</v>
      </c>
      <c r="M108" s="16" t="s">
        <v>391</v>
      </c>
      <c r="N108" s="16" t="s">
        <v>175</v>
      </c>
      <c r="O108" s="188" t="s">
        <v>772</v>
      </c>
      <c r="P108" s="9" t="s">
        <v>43</v>
      </c>
      <c r="Q108" s="16" t="s">
        <v>773</v>
      </c>
    </row>
    <row r="109" spans="1:18">
      <c r="A109" s="16">
        <v>104</v>
      </c>
      <c r="B109" s="27" t="s">
        <v>338</v>
      </c>
      <c r="C109" s="9" t="s">
        <v>774</v>
      </c>
      <c r="D109" s="45">
        <v>91914025</v>
      </c>
      <c r="E109" s="45" t="e">
        <f>SUMIF(#REF!,Normteile!C109,#REF!)</f>
        <v>#REF!</v>
      </c>
      <c r="F109" s="9" t="s">
        <v>386</v>
      </c>
      <c r="G109" s="16" t="s">
        <v>484</v>
      </c>
      <c r="H109" s="9" t="s">
        <v>426</v>
      </c>
      <c r="I109" s="16">
        <v>65</v>
      </c>
      <c r="J109" s="17" t="s">
        <v>485</v>
      </c>
      <c r="K109" s="49" t="s">
        <v>486</v>
      </c>
      <c r="L109" s="74">
        <f>IF(F109="Schraube",INDEX(Dropdown!$Q$5:$V$33,MATCH(Normteile!H109,Dropdown!$P$5:$P$33,0),MATCH(Normteile!K109,Dropdown!$Q$4:$V$4,0)),"-")</f>
        <v>49</v>
      </c>
      <c r="M109" s="16" t="s">
        <v>391</v>
      </c>
      <c r="N109" s="16" t="s">
        <v>175</v>
      </c>
      <c r="O109" s="188" t="s">
        <v>775</v>
      </c>
      <c r="P109" s="9">
        <v>5.1999999999999998E-2</v>
      </c>
      <c r="Q109" s="16" t="s">
        <v>776</v>
      </c>
    </row>
    <row r="110" spans="1:18">
      <c r="A110" s="16">
        <v>105</v>
      </c>
      <c r="B110" s="27" t="s">
        <v>777</v>
      </c>
      <c r="C110" s="9" t="s">
        <v>778</v>
      </c>
      <c r="D110" s="45" t="s">
        <v>0</v>
      </c>
      <c r="E110" s="45" t="e">
        <f>SUMIF(#REF!,Normteile!C110,#REF!)</f>
        <v>#REF!</v>
      </c>
      <c r="F110" s="9" t="s">
        <v>386</v>
      </c>
      <c r="G110" s="16" t="s">
        <v>534</v>
      </c>
      <c r="H110" s="9" t="s">
        <v>399</v>
      </c>
      <c r="I110" s="16">
        <v>20</v>
      </c>
      <c r="J110" s="17" t="s">
        <v>535</v>
      </c>
      <c r="K110" s="49" t="s">
        <v>486</v>
      </c>
      <c r="L110" s="74">
        <f>IF(F110="Schraube",INDEX(Dropdown!$Q$5:$V$33,MATCH(Normteile!H110,Dropdown!$P$5:$P$33,0),MATCH(Normteile!K110,Dropdown!$Q$4:$V$4,0)),"-")</f>
        <v>10.25</v>
      </c>
      <c r="M110" s="16" t="s">
        <v>391</v>
      </c>
      <c r="N110" s="16" t="s">
        <v>175</v>
      </c>
      <c r="O110" s="188" t="s">
        <v>779</v>
      </c>
      <c r="P110" s="9" t="s">
        <v>43</v>
      </c>
      <c r="Q110" s="16" t="s">
        <v>780</v>
      </c>
    </row>
    <row r="111" spans="1:18">
      <c r="A111" s="16">
        <v>106</v>
      </c>
      <c r="B111" s="27" t="s">
        <v>339</v>
      </c>
      <c r="C111" s="9" t="s">
        <v>7</v>
      </c>
      <c r="D111" s="45">
        <v>91914030</v>
      </c>
      <c r="E111" s="45" t="e">
        <f>SUMIF(#REF!,Normteile!C111,#REF!)</f>
        <v>#REF!</v>
      </c>
      <c r="F111" s="9" t="s">
        <v>386</v>
      </c>
      <c r="G111" s="16" t="s">
        <v>781</v>
      </c>
      <c r="H111" s="9" t="s">
        <v>403</v>
      </c>
      <c r="I111" s="16">
        <v>40</v>
      </c>
      <c r="L111" s="74" t="e">
        <f>IF(F111="Schraube",INDEX(Dropdown!$Q$5:$V$33,MATCH(Normteile!H111,Dropdown!$P$5:$P$33,0),MATCH(Normteile!K111,Dropdown!$Q$4:$V$4,0)),"-")</f>
        <v>#N/A</v>
      </c>
      <c r="N111" s="16" t="s">
        <v>175</v>
      </c>
      <c r="O111" s="188" t="s">
        <v>782</v>
      </c>
      <c r="P111" s="9">
        <v>2.5999999999999999E-2</v>
      </c>
      <c r="Q111" s="76" t="s">
        <v>783</v>
      </c>
    </row>
    <row r="112" spans="1:18">
      <c r="A112" s="16">
        <v>107</v>
      </c>
      <c r="B112" s="16" t="s">
        <v>64</v>
      </c>
      <c r="C112" s="9" t="s">
        <v>187</v>
      </c>
      <c r="D112" s="45">
        <v>91914039</v>
      </c>
      <c r="E112" s="45" t="e">
        <f>SUMIF(#REF!,Normteile!C112,#REF!)</f>
        <v>#REF!</v>
      </c>
      <c r="F112" s="9" t="s">
        <v>430</v>
      </c>
      <c r="H112" s="9" t="s">
        <v>396</v>
      </c>
      <c r="J112" s="17" t="s">
        <v>433</v>
      </c>
      <c r="L112" s="74" t="str">
        <f>IF(F112="Schraube",INDEX(Dropdown!$Q$5:$V$33,MATCH(Normteile!H112,Dropdown!$P$5:$P$33,0),MATCH(Normteile!K112,Dropdown!$Q$4:$V$4,0)),"-")</f>
        <v>-</v>
      </c>
      <c r="M112" s="16" t="s">
        <v>391</v>
      </c>
      <c r="N112" s="16" t="s">
        <v>175</v>
      </c>
      <c r="O112" s="188" t="s">
        <v>784</v>
      </c>
      <c r="P112" s="9">
        <v>1E-3</v>
      </c>
      <c r="Q112" s="16" t="s">
        <v>785</v>
      </c>
    </row>
    <row r="113" spans="1:18">
      <c r="A113" s="16">
        <v>108</v>
      </c>
      <c r="B113" s="16" t="s">
        <v>786</v>
      </c>
      <c r="C113" s="9" t="s">
        <v>787</v>
      </c>
      <c r="D113" s="45" t="s">
        <v>0</v>
      </c>
      <c r="E113" s="45" t="e">
        <f>SUMIF(#REF!,Normteile!C113,#REF!)</f>
        <v>#REF!</v>
      </c>
      <c r="F113" s="9" t="s">
        <v>788</v>
      </c>
      <c r="J113" s="17" t="s">
        <v>789</v>
      </c>
      <c r="L113" s="74" t="str">
        <f>IF(F113="Schraube",INDEX(Dropdown!$Q$5:$V$33,MATCH(Normteile!H113,Dropdown!$P$5:$P$33,0),MATCH(Normteile!K113,Dropdown!$Q$4:$V$4,0)),"-")</f>
        <v>-</v>
      </c>
      <c r="M113" s="16" t="s">
        <v>391</v>
      </c>
      <c r="N113" s="16" t="s">
        <v>175</v>
      </c>
      <c r="O113" s="188" t="s">
        <v>790</v>
      </c>
      <c r="P113" s="9" t="s">
        <v>43</v>
      </c>
      <c r="Q113" s="16" t="s">
        <v>791</v>
      </c>
    </row>
    <row r="114" spans="1:18">
      <c r="A114" s="16">
        <v>109</v>
      </c>
      <c r="B114" s="16" t="s">
        <v>792</v>
      </c>
      <c r="C114" s="9" t="s">
        <v>793</v>
      </c>
      <c r="D114" s="45" t="s">
        <v>0</v>
      </c>
      <c r="E114" s="45" t="e">
        <f>SUMIF(#REF!,Normteile!C114,#REF!)</f>
        <v>#REF!</v>
      </c>
      <c r="F114" s="9" t="s">
        <v>672</v>
      </c>
      <c r="H114" s="9" t="s">
        <v>396</v>
      </c>
      <c r="L114" s="74" t="str">
        <f>IF(F114="Schraube",INDEX(Dropdown!$Q$5:$V$33,MATCH(Normteile!H114,Dropdown!$P$5:$P$33,0),MATCH(Normteile!K114,Dropdown!$Q$4:$V$4,0)),"-")</f>
        <v>-</v>
      </c>
      <c r="M114" s="16" t="s">
        <v>794</v>
      </c>
      <c r="N114" s="16" t="s">
        <v>175</v>
      </c>
      <c r="O114" s="188" t="s">
        <v>795</v>
      </c>
      <c r="P114" s="9" t="s">
        <v>43</v>
      </c>
      <c r="Q114" s="16" t="s">
        <v>796</v>
      </c>
      <c r="R114" s="16" t="s">
        <v>797</v>
      </c>
    </row>
    <row r="115" spans="1:18">
      <c r="A115" s="16">
        <v>110</v>
      </c>
      <c r="B115" s="16" t="s">
        <v>189</v>
      </c>
      <c r="C115" s="9" t="s">
        <v>188</v>
      </c>
      <c r="D115" s="45">
        <v>91914041</v>
      </c>
      <c r="E115" s="45" t="e">
        <f>SUMIF(#REF!,Normteile!C115,#REF!)</f>
        <v>#REF!</v>
      </c>
      <c r="F115" s="9" t="s">
        <v>386</v>
      </c>
      <c r="G115" s="16" t="s">
        <v>798</v>
      </c>
      <c r="H115" s="9" t="s">
        <v>396</v>
      </c>
      <c r="I115" s="16">
        <v>25</v>
      </c>
      <c r="J115" s="17" t="s">
        <v>799</v>
      </c>
      <c r="L115" s="74" t="e">
        <f>IF(F115="Schraube",INDEX(Dropdown!$Q$5:$V$33,MATCH(Normteile!H115,Dropdown!$P$5:$P$33,0),MATCH(Normteile!K115,Dropdown!$Q$4:$V$4,0)),"-")</f>
        <v>#N/A</v>
      </c>
      <c r="N115" s="16" t="s">
        <v>663</v>
      </c>
      <c r="O115" s="188">
        <v>9801525</v>
      </c>
      <c r="P115" s="9">
        <v>5.0000000000000001E-3</v>
      </c>
      <c r="Q115" s="16" t="s">
        <v>800</v>
      </c>
    </row>
    <row r="116" spans="1:18">
      <c r="A116" s="16">
        <v>111</v>
      </c>
      <c r="B116" s="16" t="s">
        <v>801</v>
      </c>
      <c r="C116" s="9" t="s">
        <v>802</v>
      </c>
      <c r="D116" s="45" t="s">
        <v>0</v>
      </c>
      <c r="E116" s="45" t="e">
        <f>SUMIF(#REF!,Normteile!C116,#REF!)</f>
        <v>#REF!</v>
      </c>
      <c r="F116" s="9" t="s">
        <v>454</v>
      </c>
      <c r="G116" s="16" t="s">
        <v>803</v>
      </c>
      <c r="H116" s="9" t="s">
        <v>804</v>
      </c>
      <c r="L116" s="74" t="str">
        <f>IF(F116="Schraube",INDEX(Dropdown!$Q$5:$V$33,MATCH(Normteile!H116,Dropdown!$P$5:$P$33,0),MATCH(Normteile!K116,Dropdown!$Q$4:$V$4,0)),"-")</f>
        <v>-</v>
      </c>
      <c r="N116" s="16" t="s">
        <v>805</v>
      </c>
      <c r="O116" s="188" t="s">
        <v>806</v>
      </c>
      <c r="P116" s="9" t="s">
        <v>43</v>
      </c>
      <c r="Q116" s="76" t="s">
        <v>807</v>
      </c>
    </row>
    <row r="117" spans="1:18">
      <c r="A117" s="16">
        <v>112</v>
      </c>
      <c r="B117" s="16" t="s">
        <v>340</v>
      </c>
      <c r="C117" s="9" t="s">
        <v>808</v>
      </c>
      <c r="D117" s="45">
        <v>91914042</v>
      </c>
      <c r="E117" s="45" t="e">
        <f>SUMIF(#REF!,Normteile!C117,#REF!)</f>
        <v>#REF!</v>
      </c>
      <c r="F117" s="9" t="s">
        <v>386</v>
      </c>
      <c r="G117" s="16" t="s">
        <v>484</v>
      </c>
      <c r="H117" s="9" t="s">
        <v>403</v>
      </c>
      <c r="I117" s="16">
        <v>25</v>
      </c>
      <c r="J117" s="17" t="s">
        <v>809</v>
      </c>
      <c r="K117" s="49" t="s">
        <v>486</v>
      </c>
      <c r="L117" s="74">
        <f>IF(F117="Schraube",INDEX(Dropdown!$Q$5:$V$33,MATCH(Normteile!H117,Dropdown!$P$5:$P$33,0),MATCH(Normteile!K117,Dropdown!$Q$4:$V$4,0)),"-")</f>
        <v>24.93</v>
      </c>
      <c r="M117" s="16" t="s">
        <v>391</v>
      </c>
      <c r="N117" s="16" t="s">
        <v>175</v>
      </c>
      <c r="O117" s="188" t="s">
        <v>810</v>
      </c>
      <c r="P117" s="9">
        <v>3.3000000000000002E-2</v>
      </c>
      <c r="Q117" s="16" t="s">
        <v>811</v>
      </c>
    </row>
    <row r="118" spans="1:18">
      <c r="A118" s="16">
        <v>113</v>
      </c>
      <c r="B118" s="16" t="s">
        <v>343</v>
      </c>
      <c r="C118" s="9" t="s">
        <v>812</v>
      </c>
      <c r="D118" s="45" t="s">
        <v>0</v>
      </c>
      <c r="E118" s="45" t="e">
        <f>SUMIF(#REF!,Normteile!C118,#REF!)</f>
        <v>#REF!</v>
      </c>
      <c r="F118" s="9" t="s">
        <v>386</v>
      </c>
      <c r="G118" s="16" t="s">
        <v>534</v>
      </c>
      <c r="H118" s="9" t="s">
        <v>388</v>
      </c>
      <c r="I118" s="16">
        <v>30</v>
      </c>
      <c r="J118" s="17" t="s">
        <v>535</v>
      </c>
      <c r="K118" s="49" t="s">
        <v>486</v>
      </c>
      <c r="L118" s="74">
        <f>IF(F118="Schraube",INDEX(Dropdown!$Q$5:$V$33,MATCH(Normteile!H118,Dropdown!$P$5:$P$33,0),MATCH(Normteile!K118,Dropdown!$Q$4:$V$4,0)),"-")</f>
        <v>2.97</v>
      </c>
      <c r="M118" s="16" t="s">
        <v>391</v>
      </c>
      <c r="N118" s="16" t="s">
        <v>175</v>
      </c>
      <c r="O118" s="188" t="s">
        <v>813</v>
      </c>
      <c r="P118" s="95">
        <v>3.0000000000000001E-3</v>
      </c>
      <c r="Q118" s="16" t="s">
        <v>814</v>
      </c>
    </row>
    <row r="119" spans="1:18">
      <c r="A119" s="16">
        <v>114</v>
      </c>
      <c r="B119" s="16" t="s">
        <v>60</v>
      </c>
      <c r="C119" s="9" t="s">
        <v>815</v>
      </c>
      <c r="D119" s="45" t="s">
        <v>0</v>
      </c>
      <c r="E119" s="45" t="e">
        <f>SUMIF(#REF!,Normteile!C119,#REF!)</f>
        <v>#REF!</v>
      </c>
      <c r="F119" s="9" t="s">
        <v>430</v>
      </c>
      <c r="H119" s="9" t="s">
        <v>388</v>
      </c>
      <c r="J119" s="17" t="s">
        <v>352</v>
      </c>
      <c r="L119" s="74" t="str">
        <f>IF(F119="Schraube",INDEX(Dropdown!$Q$5:$V$33,MATCH(Normteile!H119,Dropdown!$P$5:$P$33,0),MATCH(Normteile!K119,Dropdown!$Q$4:$V$4,0)),"-")</f>
        <v>-</v>
      </c>
      <c r="M119" s="16" t="s">
        <v>391</v>
      </c>
      <c r="N119" s="19" t="s">
        <v>175</v>
      </c>
      <c r="O119" s="188" t="s">
        <v>816</v>
      </c>
      <c r="P119" s="9">
        <v>3.0830000000000001E-4</v>
      </c>
      <c r="Q119" s="15" t="s">
        <v>817</v>
      </c>
    </row>
    <row r="120" spans="1:18">
      <c r="A120" s="16">
        <v>115</v>
      </c>
      <c r="B120" s="16" t="s">
        <v>344</v>
      </c>
      <c r="C120" s="9" t="s">
        <v>818</v>
      </c>
      <c r="D120" s="45" t="s">
        <v>0</v>
      </c>
      <c r="E120" s="45" t="e">
        <f>SUMIF(#REF!,Normteile!C120,#REF!)</f>
        <v>#REF!</v>
      </c>
      <c r="F120" s="9" t="s">
        <v>386</v>
      </c>
      <c r="G120" s="16" t="s">
        <v>594</v>
      </c>
      <c r="H120" s="9" t="s">
        <v>399</v>
      </c>
      <c r="I120" s="16">
        <v>50</v>
      </c>
      <c r="K120" s="49" t="s">
        <v>486</v>
      </c>
      <c r="L120" s="74">
        <f>IF(F120="Schraube",INDEX(Dropdown!$Q$5:$V$33,MATCH(Normteile!H120,Dropdown!$P$5:$P$33,0),MATCH(Normteile!K120,Dropdown!$Q$4:$V$4,0)),"-")</f>
        <v>10.25</v>
      </c>
      <c r="M120" s="16" t="s">
        <v>391</v>
      </c>
      <c r="N120" s="19" t="s">
        <v>175</v>
      </c>
      <c r="O120" s="188" t="s">
        <v>819</v>
      </c>
      <c r="P120" s="9">
        <v>1.4E-2</v>
      </c>
      <c r="Q120" s="15" t="s">
        <v>820</v>
      </c>
    </row>
    <row r="121" spans="1:18">
      <c r="A121" s="16">
        <v>116</v>
      </c>
      <c r="B121" s="16" t="s">
        <v>329</v>
      </c>
      <c r="C121" s="9" t="s">
        <v>821</v>
      </c>
      <c r="D121" s="45">
        <v>91908686</v>
      </c>
      <c r="E121" s="45" t="e">
        <f>SUMIF(#REF!,Normteile!C121,#REF!)</f>
        <v>#REF!</v>
      </c>
      <c r="F121" s="9" t="s">
        <v>454</v>
      </c>
      <c r="G121" s="16" t="s">
        <v>455</v>
      </c>
      <c r="H121" s="9" t="s">
        <v>426</v>
      </c>
      <c r="J121" s="56" t="s">
        <v>822</v>
      </c>
      <c r="K121" s="49" t="s">
        <v>466</v>
      </c>
      <c r="L121" s="74" t="str">
        <f>IF(F121="Schraube",INDEX(Dropdown!$Q$5:$V$33,MATCH(Normteile!H121,Dropdown!$P$5:$P$33,0),MATCH(Normteile!K121,Dropdown!$Q$4:$V$4,0)),"-")</f>
        <v>-</v>
      </c>
      <c r="M121" s="16" t="s">
        <v>391</v>
      </c>
      <c r="N121" s="16" t="s">
        <v>175</v>
      </c>
      <c r="O121" s="188" t="s">
        <v>823</v>
      </c>
      <c r="P121" s="20">
        <v>1.2E-2</v>
      </c>
      <c r="Q121" s="16" t="s">
        <v>824</v>
      </c>
    </row>
    <row r="122" spans="1:18">
      <c r="A122" s="16">
        <v>117</v>
      </c>
      <c r="B122" s="19" t="s">
        <v>28</v>
      </c>
      <c r="C122" s="9" t="s">
        <v>29</v>
      </c>
      <c r="D122" s="45">
        <v>91946428</v>
      </c>
      <c r="E122" s="45" t="e">
        <f>SUMIF(#REF!,Normteile!C122,#REF!)</f>
        <v>#REF!</v>
      </c>
      <c r="F122" s="9" t="s">
        <v>430</v>
      </c>
      <c r="H122" s="9" t="s">
        <v>825</v>
      </c>
      <c r="I122" s="19"/>
      <c r="J122" s="2" t="s">
        <v>433</v>
      </c>
      <c r="K122" s="55"/>
      <c r="L122" s="74"/>
      <c r="M122" s="16" t="s">
        <v>391</v>
      </c>
      <c r="N122" s="16" t="s">
        <v>175</v>
      </c>
      <c r="O122" s="188" t="s">
        <v>826</v>
      </c>
      <c r="P122" s="20">
        <v>2.1999999999999999E-2</v>
      </c>
    </row>
    <row r="123" spans="1:18">
      <c r="A123" s="16">
        <v>118</v>
      </c>
      <c r="B123" s="36" t="s">
        <v>213</v>
      </c>
      <c r="C123" s="4" t="s">
        <v>212</v>
      </c>
      <c r="D123" s="45">
        <v>91907573</v>
      </c>
      <c r="E123" s="45" t="e">
        <f>SUMIF(#REF!,Normteile!C123,#REF!)</f>
        <v>#REF!</v>
      </c>
      <c r="F123" s="16" t="s">
        <v>570</v>
      </c>
      <c r="G123" s="16" t="s">
        <v>827</v>
      </c>
      <c r="I123" s="19"/>
      <c r="J123" s="57" t="s">
        <v>348</v>
      </c>
      <c r="K123" s="55"/>
      <c r="L123" s="74" t="str">
        <f>IF(F123="Schraube",INDEX(Dropdown!$Q$5:$V$33,MATCH(Normteile!H123,Dropdown!$P$5:$P$33,0),MATCH(Normteile!K123,Dropdown!$Q$4:$V$4,0)),"-")</f>
        <v>-</v>
      </c>
      <c r="M123" s="16" t="s">
        <v>107</v>
      </c>
      <c r="N123" s="16" t="s">
        <v>137</v>
      </c>
      <c r="O123" s="188"/>
      <c r="P123" s="9">
        <v>8.0000000000000002E-3</v>
      </c>
    </row>
    <row r="124" spans="1:18">
      <c r="A124" s="16">
        <v>119</v>
      </c>
      <c r="B124" s="36" t="s">
        <v>18</v>
      </c>
      <c r="C124" s="9" t="s">
        <v>19</v>
      </c>
      <c r="D124" s="45">
        <v>91907575</v>
      </c>
      <c r="E124" s="45" t="e">
        <f>SUMIF(#REF!,Normteile!C124,#REF!)</f>
        <v>#REF!</v>
      </c>
      <c r="F124" s="9" t="s">
        <v>828</v>
      </c>
      <c r="G124" s="16" t="s">
        <v>829</v>
      </c>
      <c r="H124" s="9" t="s">
        <v>830</v>
      </c>
      <c r="I124" s="19"/>
      <c r="J124" s="58" t="s">
        <v>0</v>
      </c>
      <c r="K124" s="55" t="s">
        <v>390</v>
      </c>
      <c r="L124" s="74" t="str">
        <f>IF(F124="Schraube",INDEX(Dropdown!$Q$5:$V$33,MATCH(Normteile!H124,Dropdown!$P$5:$P$33,0),MATCH(Normteile!K124,Dropdown!$Q$4:$V$4,0)),"-")</f>
        <v>-</v>
      </c>
      <c r="M124" s="16" t="s">
        <v>306</v>
      </c>
      <c r="N124" s="16" t="s">
        <v>137</v>
      </c>
      <c r="O124" s="188"/>
      <c r="P124" s="9">
        <v>2.5999999999999999E-2</v>
      </c>
    </row>
    <row r="125" spans="1:18">
      <c r="A125" s="16">
        <v>120</v>
      </c>
      <c r="B125" s="36" t="s">
        <v>20</v>
      </c>
      <c r="C125" s="9" t="s">
        <v>21</v>
      </c>
      <c r="D125" s="45">
        <v>91907576</v>
      </c>
      <c r="E125" s="45" t="e">
        <f>SUMIF(#REF!,Normteile!C125,#REF!)</f>
        <v>#REF!</v>
      </c>
      <c r="F125" s="9" t="s">
        <v>831</v>
      </c>
      <c r="G125" s="16" t="s">
        <v>832</v>
      </c>
      <c r="H125" s="9" t="s">
        <v>830</v>
      </c>
      <c r="I125" s="19"/>
      <c r="J125" s="58" t="s">
        <v>0</v>
      </c>
      <c r="K125" s="55" t="s">
        <v>390</v>
      </c>
      <c r="L125" s="74" t="str">
        <f>IF(F125="Schraube",INDEX(Dropdown!$Q$5:$V$33,MATCH(Normteile!H125,Dropdown!$P$5:$P$33,0),MATCH(Normteile!K125,Dropdown!$Q$4:$V$4,0)),"-")</f>
        <v>-</v>
      </c>
      <c r="M125" s="16" t="s">
        <v>833</v>
      </c>
      <c r="N125" s="16" t="s">
        <v>137</v>
      </c>
      <c r="O125" s="188"/>
      <c r="P125" s="9">
        <v>2.4E-2</v>
      </c>
    </row>
    <row r="126" spans="1:18">
      <c r="A126" s="16">
        <v>121</v>
      </c>
      <c r="B126" s="37" t="s">
        <v>834</v>
      </c>
      <c r="C126" s="9" t="s">
        <v>350</v>
      </c>
      <c r="D126" s="45">
        <v>91907580</v>
      </c>
      <c r="E126" s="45" t="e">
        <f>SUMIF(#REF!,Normteile!C126,#REF!)</f>
        <v>#REF!</v>
      </c>
      <c r="F126" s="9" t="s">
        <v>386</v>
      </c>
      <c r="G126" s="16" t="s">
        <v>835</v>
      </c>
      <c r="H126" s="9" t="s">
        <v>399</v>
      </c>
      <c r="I126" s="19">
        <v>30</v>
      </c>
      <c r="J126" s="57" t="s">
        <v>836</v>
      </c>
      <c r="K126" s="55" t="s">
        <v>390</v>
      </c>
      <c r="L126" s="74">
        <f>IF(F126="Schraube",INDEX(Dropdown!$Q$5:$V$33,MATCH(Normteile!H126,Dropdown!$P$5:$P$33,0),MATCH(Normteile!K126,Dropdown!$Q$4:$V$4,0)),"-")</f>
        <v>14.41</v>
      </c>
      <c r="M126" s="16" t="s">
        <v>837</v>
      </c>
      <c r="N126" s="16" t="s">
        <v>137</v>
      </c>
      <c r="O126" s="188"/>
      <c r="P126" s="9">
        <v>1.0999999999999999E-2</v>
      </c>
    </row>
    <row r="127" spans="1:18" ht="15" customHeight="1">
      <c r="A127" s="16">
        <v>122</v>
      </c>
      <c r="B127" s="36" t="s">
        <v>144</v>
      </c>
      <c r="C127" s="9" t="s">
        <v>27</v>
      </c>
      <c r="D127" s="45">
        <v>91907583</v>
      </c>
      <c r="E127" s="45" t="e">
        <f>SUMIF(#REF!,Normteile!C127,#REF!)</f>
        <v>#REF!</v>
      </c>
      <c r="F127" s="9" t="s">
        <v>454</v>
      </c>
      <c r="G127" s="16" t="s">
        <v>838</v>
      </c>
      <c r="H127" s="9" t="s">
        <v>839</v>
      </c>
      <c r="I127" s="19"/>
      <c r="J127" s="77" t="s">
        <v>351</v>
      </c>
      <c r="K127" s="55" t="s">
        <v>390</v>
      </c>
      <c r="L127" s="74" t="str">
        <f>IF(F127="Schraube",INDEX(Dropdown!$Q$5:$V$33,MATCH(Normteile!H127,Dropdown!$P$5:$P$33,0),MATCH(Normteile!K127,Dropdown!$Q$4:$V$4,0)),"-")</f>
        <v>-</v>
      </c>
      <c r="M127" s="16" t="s">
        <v>840</v>
      </c>
      <c r="N127" s="16" t="s">
        <v>137</v>
      </c>
      <c r="O127" s="188"/>
      <c r="P127" s="9">
        <v>1.2999999999999999E-2</v>
      </c>
    </row>
    <row r="128" spans="1:18">
      <c r="A128" s="16">
        <v>123</v>
      </c>
      <c r="B128" s="16" t="s">
        <v>841</v>
      </c>
      <c r="C128" s="9" t="s">
        <v>217</v>
      </c>
      <c r="D128" s="45">
        <v>91907584</v>
      </c>
      <c r="E128" s="45" t="e">
        <f>SUMIF(#REF!,Normteile!C128,#REF!)</f>
        <v>#REF!</v>
      </c>
      <c r="F128" s="9" t="s">
        <v>386</v>
      </c>
      <c r="G128" s="16" t="s">
        <v>842</v>
      </c>
      <c r="H128" s="9" t="s">
        <v>403</v>
      </c>
      <c r="I128" s="19">
        <v>55</v>
      </c>
      <c r="J128" s="57" t="s">
        <v>346</v>
      </c>
      <c r="K128" s="55" t="s">
        <v>390</v>
      </c>
      <c r="L128" s="74">
        <f>IF(F128="Schraube",INDEX(Dropdown!$Q$5:$V$33,MATCH(Normteile!H128,Dropdown!$P$5:$P$33,0),MATCH(Normteile!K128,Dropdown!$Q$4:$V$4,0)),"-")</f>
        <v>35.06</v>
      </c>
      <c r="M128" s="16" t="s">
        <v>843</v>
      </c>
      <c r="N128" s="16" t="s">
        <v>137</v>
      </c>
      <c r="O128" s="188"/>
      <c r="P128" s="9">
        <v>0.02</v>
      </c>
    </row>
    <row r="129" spans="1:17">
      <c r="A129" s="16">
        <v>124</v>
      </c>
      <c r="B129" s="37" t="s">
        <v>154</v>
      </c>
      <c r="C129" s="9" t="s">
        <v>24</v>
      </c>
      <c r="D129" s="45">
        <v>91907585</v>
      </c>
      <c r="E129" s="45" t="e">
        <f>SUMIF(#REF!,Normteile!C129,#REF!)</f>
        <v>#REF!</v>
      </c>
      <c r="F129" s="9" t="s">
        <v>454</v>
      </c>
      <c r="G129" s="16" t="s">
        <v>838</v>
      </c>
      <c r="H129" s="9" t="s">
        <v>403</v>
      </c>
      <c r="I129" s="19"/>
      <c r="J129" s="77" t="s">
        <v>844</v>
      </c>
      <c r="K129" s="55" t="s">
        <v>390</v>
      </c>
      <c r="L129" s="74" t="str">
        <f>IF(F129="Schraube",INDEX(Dropdown!$Q$5:$V$33,MATCH(Normteile!H129,Dropdown!$P$5:$P$33,0),MATCH(Normteile!K129,Dropdown!$Q$4:$V$4,0)),"-")</f>
        <v>-</v>
      </c>
      <c r="M129" s="16" t="s">
        <v>845</v>
      </c>
      <c r="N129" s="16" t="s">
        <v>137</v>
      </c>
      <c r="O129" s="188"/>
      <c r="P129" s="9">
        <v>8.9999999999999993E-3</v>
      </c>
      <c r="Q129" s="192" t="s">
        <v>846</v>
      </c>
    </row>
    <row r="130" spans="1:17">
      <c r="A130" s="16">
        <v>125</v>
      </c>
      <c r="B130" s="37" t="s">
        <v>219</v>
      </c>
      <c r="C130" s="9" t="s">
        <v>218</v>
      </c>
      <c r="D130" s="45">
        <v>91907591</v>
      </c>
      <c r="E130" s="45" t="e">
        <f>SUMIF(#REF!,Normteile!C130,#REF!)</f>
        <v>#REF!</v>
      </c>
      <c r="F130" s="9" t="s">
        <v>454</v>
      </c>
      <c r="G130" s="16" t="s">
        <v>847</v>
      </c>
      <c r="H130" s="9" t="s">
        <v>848</v>
      </c>
      <c r="I130" s="19"/>
      <c r="J130" s="57" t="s">
        <v>528</v>
      </c>
      <c r="K130" s="55" t="s">
        <v>390</v>
      </c>
      <c r="L130" s="74" t="str">
        <f>IF(F130="Schraube",INDEX(Dropdown!$Q$5:$V$33,MATCH(Normteile!H130,Dropdown!$P$5:$P$33,0),MATCH(Normteile!K130,Dropdown!$Q$4:$V$4,0)),"-")</f>
        <v>-</v>
      </c>
      <c r="M130" s="16" t="s">
        <v>849</v>
      </c>
      <c r="N130" s="16" t="s">
        <v>137</v>
      </c>
      <c r="O130" s="188"/>
      <c r="P130" s="9">
        <v>4.0000000000000001E-3</v>
      </c>
    </row>
    <row r="131" spans="1:17">
      <c r="A131" s="16">
        <v>126</v>
      </c>
      <c r="B131" s="37" t="s">
        <v>221</v>
      </c>
      <c r="C131" s="9" t="s">
        <v>220</v>
      </c>
      <c r="D131" s="45">
        <v>91907593</v>
      </c>
      <c r="E131" s="45" t="e">
        <f>SUMIF(#REF!,Normteile!C131,#REF!)</f>
        <v>#REF!</v>
      </c>
      <c r="F131" s="9" t="s">
        <v>454</v>
      </c>
      <c r="G131" s="16" t="s">
        <v>847</v>
      </c>
      <c r="H131" s="9" t="s">
        <v>403</v>
      </c>
      <c r="I131" s="19"/>
      <c r="J131" s="57" t="s">
        <v>528</v>
      </c>
      <c r="K131" s="55" t="s">
        <v>390</v>
      </c>
      <c r="L131" s="74" t="str">
        <f>IF(F131="Schraube",INDEX(Dropdown!$Q$5:$V$33,MATCH(Normteile!H131,Dropdown!$P$5:$P$33,0),MATCH(Normteile!K131,Dropdown!$Q$4:$V$4,0)),"-")</f>
        <v>-</v>
      </c>
      <c r="M131" s="16" t="s">
        <v>850</v>
      </c>
      <c r="N131" s="16" t="s">
        <v>137</v>
      </c>
      <c r="O131" s="188"/>
      <c r="P131" s="9">
        <v>4.0000000000000001E-3</v>
      </c>
    </row>
    <row r="132" spans="1:17">
      <c r="A132" s="16">
        <v>127</v>
      </c>
      <c r="B132" s="37" t="s">
        <v>851</v>
      </c>
      <c r="C132" s="9" t="s">
        <v>222</v>
      </c>
      <c r="D132" s="45">
        <v>91907594</v>
      </c>
      <c r="E132" s="45" t="e">
        <f>SUMIF(#REF!,Normteile!C132,#REF!)</f>
        <v>#REF!</v>
      </c>
      <c r="F132" s="9" t="s">
        <v>386</v>
      </c>
      <c r="G132" s="16" t="s">
        <v>417</v>
      </c>
      <c r="H132" s="9" t="s">
        <v>399</v>
      </c>
      <c r="I132" s="19">
        <v>30</v>
      </c>
      <c r="J132" s="77" t="s">
        <v>852</v>
      </c>
      <c r="K132" s="55" t="s">
        <v>390</v>
      </c>
      <c r="L132" s="74">
        <f>IF(F132="Schraube",INDEX(Dropdown!$Q$5:$V$33,MATCH(Normteile!H132,Dropdown!$P$5:$P$33,0),MATCH(Normteile!K132,Dropdown!$Q$4:$V$4,0)),"-")</f>
        <v>14.41</v>
      </c>
      <c r="M132" s="16" t="s">
        <v>853</v>
      </c>
      <c r="N132" s="16" t="s">
        <v>137</v>
      </c>
      <c r="O132" s="188"/>
      <c r="P132" s="9">
        <v>8.9999999999999993E-3</v>
      </c>
    </row>
    <row r="133" spans="1:17">
      <c r="A133" s="16">
        <v>128</v>
      </c>
      <c r="B133" s="37" t="s">
        <v>68</v>
      </c>
      <c r="C133" s="9" t="s">
        <v>224</v>
      </c>
      <c r="D133" s="45">
        <v>91907595</v>
      </c>
      <c r="E133" s="45" t="e">
        <f>SUMIF(#REF!,Normteile!C133,#REF!)</f>
        <v>#REF!</v>
      </c>
      <c r="F133" s="9" t="s">
        <v>430</v>
      </c>
      <c r="G133" s="16" t="s">
        <v>854</v>
      </c>
      <c r="H133" s="9" t="s">
        <v>399</v>
      </c>
      <c r="I133" s="19"/>
      <c r="J133" s="77" t="s">
        <v>352</v>
      </c>
      <c r="K133" s="55" t="s">
        <v>390</v>
      </c>
      <c r="L133" s="74" t="str">
        <f>IF(F133="Schraube",INDEX(Dropdown!$Q$5:$V$33,MATCH(Normteile!H133,Dropdown!$P$5:$P$33,0),MATCH(Normteile!K133,Dropdown!$Q$4:$V$4,0)),"-")</f>
        <v>-</v>
      </c>
      <c r="M133" s="16" t="s">
        <v>855</v>
      </c>
      <c r="N133" s="16" t="s">
        <v>137</v>
      </c>
      <c r="O133" s="188"/>
      <c r="P133" s="9">
        <v>1E-3</v>
      </c>
    </row>
    <row r="134" spans="1:17">
      <c r="A134" s="16">
        <v>129</v>
      </c>
      <c r="B134" s="54" t="s">
        <v>856</v>
      </c>
      <c r="C134" s="9" t="s">
        <v>169</v>
      </c>
      <c r="D134" s="45">
        <v>91907596</v>
      </c>
      <c r="E134" s="45" t="e">
        <f>SUMIF(#REF!,Normteile!C134,#REF!)</f>
        <v>#REF!</v>
      </c>
      <c r="F134" s="9" t="s">
        <v>454</v>
      </c>
      <c r="G134" s="16" t="s">
        <v>838</v>
      </c>
      <c r="H134" s="9" t="s">
        <v>399</v>
      </c>
      <c r="I134" s="19"/>
      <c r="J134" s="77" t="s">
        <v>351</v>
      </c>
      <c r="K134" s="55" t="s">
        <v>390</v>
      </c>
      <c r="L134" s="74" t="str">
        <f>IF(F134="Schraube",INDEX(Dropdown!$Q$5:$V$33,MATCH(Normteile!H134,Dropdown!$P$5:$P$33,0),MATCH(Normteile!K134,Dropdown!$Q$4:$V$4,0)),"-")</f>
        <v>-</v>
      </c>
      <c r="M134" s="16" t="s">
        <v>857</v>
      </c>
      <c r="N134" s="16" t="s">
        <v>137</v>
      </c>
      <c r="O134" s="188"/>
      <c r="P134" s="9">
        <v>4.0000000000000001E-3</v>
      </c>
    </row>
    <row r="135" spans="1:17">
      <c r="A135" s="16">
        <v>130</v>
      </c>
      <c r="B135" s="54" t="s">
        <v>858</v>
      </c>
      <c r="C135" s="9" t="s">
        <v>225</v>
      </c>
      <c r="D135" s="45">
        <v>91907597</v>
      </c>
      <c r="E135" s="45" t="e">
        <f>SUMIF(#REF!,Normteile!C135,#REF!)</f>
        <v>#REF!</v>
      </c>
      <c r="F135" s="9" t="s">
        <v>386</v>
      </c>
      <c r="G135" s="16" t="s">
        <v>842</v>
      </c>
      <c r="H135" s="9" t="s">
        <v>403</v>
      </c>
      <c r="I135" s="19">
        <v>50</v>
      </c>
      <c r="J135" s="57" t="s">
        <v>346</v>
      </c>
      <c r="K135" s="55" t="s">
        <v>390</v>
      </c>
      <c r="L135" s="74">
        <f>IF(F135="Schraube",INDEX(Dropdown!$Q$5:$V$33,MATCH(Normteile!H135,Dropdown!$P$5:$P$33,0),MATCH(Normteile!K135,Dropdown!$Q$4:$V$4,0)),"-")</f>
        <v>35.06</v>
      </c>
      <c r="M135" s="16" t="s">
        <v>859</v>
      </c>
      <c r="N135" s="16" t="s">
        <v>137</v>
      </c>
      <c r="O135" s="188"/>
      <c r="P135" s="9">
        <v>0.02</v>
      </c>
    </row>
    <row r="136" spans="1:17" ht="18" customHeight="1">
      <c r="A136" s="16">
        <v>131</v>
      </c>
      <c r="B136" s="37" t="s">
        <v>860</v>
      </c>
      <c r="C136" s="9" t="s">
        <v>30</v>
      </c>
      <c r="D136" s="45">
        <v>91907599</v>
      </c>
      <c r="E136" s="45" t="e">
        <f>SUMIF(#REF!,Normteile!C136,#REF!)</f>
        <v>#REF!</v>
      </c>
      <c r="F136" s="9" t="s">
        <v>454</v>
      </c>
      <c r="G136" s="16" t="s">
        <v>838</v>
      </c>
      <c r="H136" s="9" t="s">
        <v>861</v>
      </c>
      <c r="I136" s="19"/>
      <c r="J136" s="77" t="s">
        <v>351</v>
      </c>
      <c r="K136" s="55" t="s">
        <v>390</v>
      </c>
      <c r="L136" s="74" t="str">
        <f>IF(F136="Schraube",INDEX(Dropdown!$Q$5:$V$33,MATCH(Normteile!H136,Dropdown!$P$5:$P$33,0),MATCH(Normteile!K136,Dropdown!$Q$4:$V$4,0)),"-")</f>
        <v>-</v>
      </c>
      <c r="M136" s="16" t="s">
        <v>862</v>
      </c>
      <c r="N136" s="16" t="s">
        <v>137</v>
      </c>
      <c r="O136" s="188"/>
      <c r="P136" s="9">
        <v>8.9999999999999993E-3</v>
      </c>
    </row>
    <row r="137" spans="1:17">
      <c r="A137" s="16">
        <v>132</v>
      </c>
      <c r="B137" s="16" t="s">
        <v>863</v>
      </c>
      <c r="C137" s="9" t="s">
        <v>226</v>
      </c>
      <c r="D137" s="45">
        <v>91907600</v>
      </c>
      <c r="E137" s="45" t="e">
        <f>SUMIF(#REF!,Normteile!C137,#REF!)</f>
        <v>#REF!</v>
      </c>
      <c r="F137" s="9" t="s">
        <v>386</v>
      </c>
      <c r="G137" s="16" t="s">
        <v>842</v>
      </c>
      <c r="H137" s="9" t="s">
        <v>403</v>
      </c>
      <c r="I137" s="19">
        <v>30</v>
      </c>
      <c r="J137" s="57" t="s">
        <v>346</v>
      </c>
      <c r="K137" s="55" t="s">
        <v>390</v>
      </c>
      <c r="L137" s="74">
        <f>IF(F137="Schraube",INDEX(Dropdown!$Q$5:$V$33,MATCH(Normteile!H137,Dropdown!$P$5:$P$33,0),MATCH(Normteile!K137,Dropdown!$Q$4:$V$4,0)),"-")</f>
        <v>35.06</v>
      </c>
      <c r="M137" s="16" t="s">
        <v>864</v>
      </c>
      <c r="N137" s="16" t="s">
        <v>137</v>
      </c>
      <c r="O137" s="188"/>
      <c r="P137" s="9">
        <v>0.02</v>
      </c>
    </row>
    <row r="138" spans="1:17">
      <c r="A138" s="16">
        <v>133</v>
      </c>
      <c r="B138" s="16" t="s">
        <v>865</v>
      </c>
      <c r="C138" s="9" t="s">
        <v>353</v>
      </c>
      <c r="D138" s="45">
        <v>91907601</v>
      </c>
      <c r="E138" s="45" t="e">
        <f>SUMIF(#REF!,Normteile!C138,#REF!)</f>
        <v>#REF!</v>
      </c>
      <c r="F138" s="9" t="s">
        <v>386</v>
      </c>
      <c r="G138" s="16" t="s">
        <v>835</v>
      </c>
      <c r="H138" s="9" t="s">
        <v>396</v>
      </c>
      <c r="I138" s="19">
        <v>20</v>
      </c>
      <c r="J138" s="57" t="s">
        <v>836</v>
      </c>
      <c r="K138" s="55" t="s">
        <v>390</v>
      </c>
      <c r="L138" s="74">
        <f>IF(F138="Schraube",INDEX(Dropdown!$Q$5:$V$33,MATCH(Normteile!H138,Dropdown!$P$5:$P$33,0),MATCH(Normteile!K138,Dropdown!$Q$4:$V$4,0)),"-")</f>
        <v>8.48</v>
      </c>
      <c r="M138" s="16" t="s">
        <v>866</v>
      </c>
      <c r="N138" s="16" t="s">
        <v>137</v>
      </c>
      <c r="O138" s="188"/>
      <c r="P138" s="9">
        <v>0.02</v>
      </c>
    </row>
    <row r="139" spans="1:17">
      <c r="A139" s="16">
        <v>134</v>
      </c>
      <c r="B139" s="16" t="s">
        <v>867</v>
      </c>
      <c r="C139" s="9" t="s">
        <v>230</v>
      </c>
      <c r="D139" s="45">
        <v>91907607</v>
      </c>
      <c r="E139" s="45" t="e">
        <f>SUMIF(#REF!,Normteile!C139,#REF!)</f>
        <v>#REF!</v>
      </c>
      <c r="F139" s="9" t="s">
        <v>386</v>
      </c>
      <c r="G139" s="16" t="s">
        <v>842</v>
      </c>
      <c r="H139" s="9" t="s">
        <v>403</v>
      </c>
      <c r="I139" s="19">
        <v>60</v>
      </c>
      <c r="J139" s="57" t="s">
        <v>346</v>
      </c>
      <c r="K139" s="55" t="s">
        <v>390</v>
      </c>
      <c r="L139" s="74">
        <f>IF(F139="Schraube",INDEX(Dropdown!$Q$5:$V$33,MATCH(Normteile!H139,Dropdown!$P$5:$P$33,0),MATCH(Normteile!K139,Dropdown!$Q$4:$V$4,0)),"-")</f>
        <v>35.06</v>
      </c>
      <c r="M139" s="16" t="s">
        <v>843</v>
      </c>
      <c r="N139" s="16" t="s">
        <v>137</v>
      </c>
      <c r="O139" s="188"/>
      <c r="P139" s="9">
        <v>2.7E-2</v>
      </c>
    </row>
    <row r="140" spans="1:17">
      <c r="A140" s="16">
        <v>135</v>
      </c>
      <c r="B140" s="16" t="s">
        <v>868</v>
      </c>
      <c r="C140" s="9" t="s">
        <v>231</v>
      </c>
      <c r="D140" s="45">
        <v>91907612</v>
      </c>
      <c r="E140" s="45" t="e">
        <f>SUMIF(#REF!,Normteile!C140,#REF!)</f>
        <v>#REF!</v>
      </c>
      <c r="F140" s="9" t="s">
        <v>454</v>
      </c>
      <c r="G140" s="16" t="s">
        <v>847</v>
      </c>
      <c r="H140" s="9" t="s">
        <v>869</v>
      </c>
      <c r="I140" s="19"/>
      <c r="J140" s="57" t="s">
        <v>354</v>
      </c>
      <c r="K140" s="55" t="s">
        <v>390</v>
      </c>
      <c r="L140" s="74" t="str">
        <f>IF(F140="Schraube",INDEX(Dropdown!$Q$5:$V$33,MATCH(Normteile!H140,Dropdown!$P$5:$P$33,0),MATCH(Normteile!K140,Dropdown!$Q$4:$V$4,0)),"-")</f>
        <v>-</v>
      </c>
      <c r="M140" s="16" t="s">
        <v>870</v>
      </c>
      <c r="N140" s="16" t="s">
        <v>137</v>
      </c>
      <c r="O140" s="188"/>
      <c r="P140" s="9">
        <v>1.2999999999999999E-2</v>
      </c>
    </row>
    <row r="141" spans="1:17">
      <c r="A141" s="16">
        <v>136</v>
      </c>
      <c r="B141" s="16" t="s">
        <v>871</v>
      </c>
      <c r="C141" s="9" t="s">
        <v>211</v>
      </c>
      <c r="D141" s="45">
        <v>91907569</v>
      </c>
      <c r="E141" s="45" t="e">
        <f>SUMIF(#REF!,Normteile!C141,#REF!)</f>
        <v>#REF!</v>
      </c>
      <c r="F141" s="9" t="s">
        <v>386</v>
      </c>
      <c r="G141" s="16" t="s">
        <v>835</v>
      </c>
      <c r="H141" s="9" t="s">
        <v>399</v>
      </c>
      <c r="I141" s="19">
        <v>12</v>
      </c>
      <c r="J141" s="57" t="s">
        <v>836</v>
      </c>
      <c r="K141" s="55" t="s">
        <v>390</v>
      </c>
      <c r="L141" s="74">
        <f>IF(F141="Schraube",INDEX(Dropdown!$Q$5:$V$33,MATCH(Normteile!H141,Dropdown!$P$5:$P$33,0),MATCH(Normteile!K141,Dropdown!$Q$4:$V$4,0)),"-")</f>
        <v>14.41</v>
      </c>
      <c r="M141" s="16" t="s">
        <v>872</v>
      </c>
      <c r="N141" s="16" t="s">
        <v>137</v>
      </c>
      <c r="O141" s="188"/>
      <c r="P141" s="9">
        <v>1.0999999999999999E-2</v>
      </c>
    </row>
    <row r="142" spans="1:17">
      <c r="A142" s="16">
        <v>137</v>
      </c>
      <c r="B142" s="16" t="s">
        <v>873</v>
      </c>
      <c r="C142" s="9" t="s">
        <v>345</v>
      </c>
      <c r="D142" s="45">
        <v>91907568</v>
      </c>
      <c r="E142" s="45" t="e">
        <f>SUMIF(#REF!,Normteile!C142,#REF!)</f>
        <v>#REF!</v>
      </c>
      <c r="F142" s="9" t="s">
        <v>386</v>
      </c>
      <c r="G142" s="16" t="s">
        <v>594</v>
      </c>
      <c r="H142" s="9" t="s">
        <v>399</v>
      </c>
      <c r="I142" s="19">
        <v>35</v>
      </c>
      <c r="J142" s="57" t="s">
        <v>874</v>
      </c>
      <c r="K142" s="55" t="s">
        <v>390</v>
      </c>
      <c r="L142" s="74">
        <f>IF(F142="Schraube",INDEX(Dropdown!$Q$5:$V$33,MATCH(Normteile!H142,Dropdown!$P$5:$P$33,0),MATCH(Normteile!K142,Dropdown!$Q$4:$V$4,0)),"-")</f>
        <v>14.41</v>
      </c>
      <c r="M142" s="16" t="s">
        <v>875</v>
      </c>
      <c r="N142" s="16" t="s">
        <v>137</v>
      </c>
      <c r="O142" s="188"/>
      <c r="P142" s="9">
        <v>1.0999999999999999E-2</v>
      </c>
    </row>
    <row r="143" spans="1:17" ht="16.8">
      <c r="A143" s="16">
        <v>138</v>
      </c>
      <c r="B143" s="16" t="s">
        <v>16</v>
      </c>
      <c r="C143" s="9" t="s">
        <v>17</v>
      </c>
      <c r="D143" s="45">
        <v>91907577</v>
      </c>
      <c r="E143" s="45" t="e">
        <f>SUMIF(#REF!,Normteile!C143,#REF!)</f>
        <v>#REF!</v>
      </c>
      <c r="F143" s="16" t="s">
        <v>570</v>
      </c>
      <c r="G143" s="16" t="s">
        <v>827</v>
      </c>
      <c r="I143" s="19"/>
      <c r="J143" s="57" t="s">
        <v>348</v>
      </c>
      <c r="K143" s="55"/>
      <c r="L143" s="74" t="str">
        <f>IF(F143="Schraube",INDEX(Dropdown!$Q$5:$V$33,MATCH(Normteile!H143,Dropdown!$P$5:$P$33,0),MATCH(Normteile!K143,Dropdown!$Q$4:$V$4,0)),"-")</f>
        <v>-</v>
      </c>
      <c r="M143" s="16" t="s">
        <v>876</v>
      </c>
      <c r="N143" s="16" t="s">
        <v>137</v>
      </c>
      <c r="O143" s="188"/>
      <c r="P143" s="9">
        <v>8.0000000000000002E-3</v>
      </c>
      <c r="Q143" s="194" t="s">
        <v>877</v>
      </c>
    </row>
    <row r="144" spans="1:17">
      <c r="A144" s="16">
        <v>139</v>
      </c>
      <c r="B144" s="16" t="s">
        <v>878</v>
      </c>
      <c r="C144" s="9" t="s">
        <v>214</v>
      </c>
      <c r="D144" s="45">
        <v>91907577</v>
      </c>
      <c r="E144" s="45" t="e">
        <f>SUMIF(#REF!,Normteile!C144,#REF!)</f>
        <v>#REF!</v>
      </c>
      <c r="F144" s="9" t="s">
        <v>386</v>
      </c>
      <c r="G144" s="16" t="s">
        <v>842</v>
      </c>
      <c r="H144" s="9" t="s">
        <v>839</v>
      </c>
      <c r="I144" s="19">
        <v>25</v>
      </c>
      <c r="J144" s="57" t="s">
        <v>346</v>
      </c>
      <c r="K144" s="55" t="s">
        <v>390</v>
      </c>
      <c r="L144" s="74" t="e">
        <f>IF(F144="Schraube",INDEX(Dropdown!$Q$5:$V$33,MATCH(Normteile!H144,Dropdown!$P$5:$P$33,0),MATCH(Normteile!K144,Dropdown!$Q$4:$V$4,0)),"-")</f>
        <v>#N/A</v>
      </c>
      <c r="M144" s="16" t="s">
        <v>879</v>
      </c>
      <c r="N144" s="16" t="s">
        <v>137</v>
      </c>
      <c r="O144" s="188"/>
      <c r="P144" s="9">
        <v>8.1000000000000003E-2</v>
      </c>
    </row>
    <row r="145" spans="1:17">
      <c r="A145" s="16">
        <v>140</v>
      </c>
      <c r="B145" s="16" t="s">
        <v>880</v>
      </c>
      <c r="C145" s="9" t="s">
        <v>215</v>
      </c>
      <c r="D145" s="45">
        <v>91907578</v>
      </c>
      <c r="E145" s="45" t="e">
        <f>SUMIF(#REF!,Normteile!C145,#REF!)</f>
        <v>#REF!</v>
      </c>
      <c r="F145" s="9" t="s">
        <v>430</v>
      </c>
      <c r="G145" s="16" t="s">
        <v>881</v>
      </c>
      <c r="H145" s="9" t="s">
        <v>825</v>
      </c>
      <c r="I145" s="19"/>
      <c r="J145" s="57" t="s">
        <v>349</v>
      </c>
      <c r="K145" s="55" t="s">
        <v>390</v>
      </c>
      <c r="L145" s="74" t="str">
        <f>IF(F145="Schraube",INDEX(Dropdown!$Q$5:$V$33,MATCH(Normteile!H145,Dropdown!$P$5:$P$33,0),MATCH(Normteile!K145,Dropdown!$Q$4:$V$4,0)),"-")</f>
        <v>-</v>
      </c>
      <c r="M145" s="16" t="s">
        <v>882</v>
      </c>
      <c r="N145" s="16" t="s">
        <v>137</v>
      </c>
      <c r="O145" s="188"/>
      <c r="P145" s="9">
        <v>2.1999999999999999E-2</v>
      </c>
    </row>
    <row r="146" spans="1:17">
      <c r="A146" s="16">
        <v>141</v>
      </c>
      <c r="B146" s="16" t="s">
        <v>308</v>
      </c>
      <c r="C146" s="9" t="s">
        <v>883</v>
      </c>
      <c r="D146" s="45" t="s">
        <v>0</v>
      </c>
      <c r="E146" s="45" t="e">
        <f>SUMIF(#REF!,Normteile!C146,#REF!)</f>
        <v>#REF!</v>
      </c>
      <c r="J146" s="53"/>
      <c r="L146" s="74" t="str">
        <f>IF(F146="Schraube",INDEX(Dropdown!$Q$5:$V$33,MATCH(Normteile!H146,Dropdown!$P$5:$P$33,0),MATCH(Normteile!K146,Dropdown!$Q$4:$V$4,0)),"-")</f>
        <v>-</v>
      </c>
      <c r="M146" s="16" t="s">
        <v>884</v>
      </c>
      <c r="N146" s="16" t="s">
        <v>175</v>
      </c>
      <c r="O146" s="188" t="s">
        <v>885</v>
      </c>
      <c r="P146" s="9">
        <v>6.0000000000000001E-3</v>
      </c>
      <c r="Q146" s="16" t="s">
        <v>886</v>
      </c>
    </row>
    <row r="147" spans="1:17">
      <c r="A147" s="16">
        <v>142</v>
      </c>
      <c r="B147" s="51" t="s">
        <v>233</v>
      </c>
      <c r="C147" s="9" t="s">
        <v>232</v>
      </c>
      <c r="D147" s="45">
        <v>91914012</v>
      </c>
      <c r="E147" s="45" t="e">
        <f>SUMIF(#REF!,Normteile!C147,#REF!)</f>
        <v>#REF!</v>
      </c>
      <c r="F147" s="9" t="s">
        <v>386</v>
      </c>
      <c r="G147" s="16" t="s">
        <v>534</v>
      </c>
      <c r="H147" s="9" t="s">
        <v>396</v>
      </c>
      <c r="I147" s="16">
        <v>10</v>
      </c>
      <c r="J147" s="17" t="s">
        <v>595</v>
      </c>
      <c r="K147" s="49" t="s">
        <v>486</v>
      </c>
      <c r="L147" s="74">
        <f>IF(F147="Schraube",INDEX(Dropdown!$Q$5:$V$33,MATCH(Normteile!H147,Dropdown!$P$5:$P$33,0),MATCH(Normteile!K147,Dropdown!$Q$4:$V$4,0)),"-")</f>
        <v>6.03</v>
      </c>
      <c r="M147" s="16" t="s">
        <v>391</v>
      </c>
      <c r="N147" s="16" t="s">
        <v>175</v>
      </c>
      <c r="O147" s="188" t="s">
        <v>540</v>
      </c>
      <c r="P147" s="9">
        <v>2E-3</v>
      </c>
      <c r="Q147" s="76" t="s">
        <v>887</v>
      </c>
    </row>
    <row r="148" spans="1:17">
      <c r="A148" s="16">
        <v>143</v>
      </c>
      <c r="B148" s="26" t="s">
        <v>147</v>
      </c>
      <c r="C148" s="9" t="s">
        <v>888</v>
      </c>
      <c r="D148" s="45" t="s">
        <v>0</v>
      </c>
      <c r="E148" s="45" t="e">
        <f>SUMIF(#REF!,Normteile!C148,#REF!)</f>
        <v>#REF!</v>
      </c>
      <c r="F148" s="9" t="s">
        <v>386</v>
      </c>
      <c r="G148" s="16" t="s">
        <v>594</v>
      </c>
      <c r="H148" s="9" t="s">
        <v>403</v>
      </c>
      <c r="I148" s="16">
        <v>50</v>
      </c>
      <c r="J148" s="17" t="s">
        <v>595</v>
      </c>
      <c r="K148" s="49" t="s">
        <v>486</v>
      </c>
      <c r="L148" s="74">
        <f>IF(F148="Schraube",INDEX(Dropdown!$Q$5:$V$33,MATCH(Normteile!H148,Dropdown!$P$5:$P$33,0),MATCH(Normteile!K148,Dropdown!$Q$4:$V$4,0)),"-")</f>
        <v>24.93</v>
      </c>
      <c r="M148" s="16" t="s">
        <v>391</v>
      </c>
      <c r="N148" s="16" t="s">
        <v>175</v>
      </c>
      <c r="O148" s="188" t="s">
        <v>889</v>
      </c>
      <c r="P148" s="9">
        <v>2.7E-2</v>
      </c>
    </row>
    <row r="149" spans="1:17">
      <c r="A149" s="16">
        <v>144</v>
      </c>
      <c r="B149" s="16" t="s">
        <v>66</v>
      </c>
      <c r="C149" s="9" t="s">
        <v>890</v>
      </c>
      <c r="D149" s="45">
        <v>91913984</v>
      </c>
      <c r="E149" s="45" t="e">
        <f>SUMIF(#REF!,Normteile!C149,#REF!)</f>
        <v>#REF!</v>
      </c>
      <c r="F149" s="9" t="s">
        <v>891</v>
      </c>
      <c r="L149" s="74" t="str">
        <f>IF(F149="Schraube",INDEX(Dropdown!$Q$5:$V$33,MATCH(Normteile!H149,Dropdown!$P$5:$P$33,0),MATCH(Normteile!K149,Dropdown!$Q$4:$V$4,0)),"-")</f>
        <v>-</v>
      </c>
      <c r="N149" s="16" t="s">
        <v>137</v>
      </c>
      <c r="O149" s="188"/>
      <c r="P149" s="9" t="s">
        <v>43</v>
      </c>
    </row>
    <row r="150" spans="1:17">
      <c r="A150" s="16">
        <v>145</v>
      </c>
      <c r="B150" s="52" t="s">
        <v>69</v>
      </c>
      <c r="C150" s="9" t="s">
        <v>892</v>
      </c>
      <c r="D150" s="45">
        <v>91913985</v>
      </c>
      <c r="E150" s="45" t="e">
        <f>SUMIF(#REF!,Normteile!C150,#REF!)</f>
        <v>#REF!</v>
      </c>
      <c r="F150" s="9" t="s">
        <v>891</v>
      </c>
      <c r="L150" s="74" t="str">
        <f>IF(F150="Schraube",INDEX(Dropdown!$Q$5:$V$33,MATCH(Normteile!H150,Dropdown!$P$5:$P$33,0),MATCH(Normteile!K150,Dropdown!$Q$4:$V$4,0)),"-")</f>
        <v>-</v>
      </c>
      <c r="N150" s="16" t="s">
        <v>137</v>
      </c>
      <c r="O150" s="188"/>
      <c r="P150" s="9" t="s">
        <v>43</v>
      </c>
    </row>
    <row r="151" spans="1:17">
      <c r="A151" s="16">
        <v>146</v>
      </c>
      <c r="B151" s="52" t="s">
        <v>304</v>
      </c>
      <c r="C151" s="9" t="s">
        <v>893</v>
      </c>
      <c r="D151" s="45">
        <v>91913986</v>
      </c>
      <c r="E151" s="45" t="e">
        <f>SUMIF(#REF!,Normteile!C151,#REF!)</f>
        <v>#REF!</v>
      </c>
      <c r="F151" s="9" t="s">
        <v>894</v>
      </c>
      <c r="L151" s="74" t="str">
        <f>IF(F151="Schraube",INDEX(Dropdown!$Q$5:$V$33,MATCH(Normteile!H151,Dropdown!$P$5:$P$33,0),MATCH(Normteile!K151,Dropdown!$Q$4:$V$4,0)),"-")</f>
        <v>-</v>
      </c>
      <c r="N151" s="16" t="s">
        <v>137</v>
      </c>
      <c r="O151" s="188"/>
      <c r="P151" s="9" t="s">
        <v>43</v>
      </c>
    </row>
    <row r="152" spans="1:17">
      <c r="A152" s="16">
        <v>147</v>
      </c>
      <c r="B152" s="16" t="s">
        <v>895</v>
      </c>
      <c r="C152" s="9" t="s">
        <v>896</v>
      </c>
      <c r="D152" s="45" t="s">
        <v>0</v>
      </c>
      <c r="E152" s="45" t="e">
        <f>SUMIF(#REF!,Normteile!C152,#REF!)</f>
        <v>#REF!</v>
      </c>
      <c r="F152" s="9" t="s">
        <v>897</v>
      </c>
      <c r="G152" s="16" t="s">
        <v>898</v>
      </c>
      <c r="L152" s="74" t="str">
        <f>IF(F152="Schraube",INDEX(Dropdown!$Q$5:$V$33,MATCH(Normteile!H152,Dropdown!$P$5:$P$33,0),MATCH(Normteile!K152,Dropdown!$Q$4:$V$4,0)),"-")</f>
        <v>-</v>
      </c>
      <c r="N152" s="16" t="s">
        <v>413</v>
      </c>
      <c r="O152" s="188"/>
      <c r="P152" s="9" t="s">
        <v>43</v>
      </c>
    </row>
    <row r="153" spans="1:17">
      <c r="A153" s="16">
        <v>148</v>
      </c>
      <c r="B153" s="16" t="s">
        <v>45</v>
      </c>
      <c r="C153" s="9" t="s">
        <v>899</v>
      </c>
      <c r="D153" s="45">
        <v>91908659</v>
      </c>
      <c r="E153" s="45" t="e">
        <f>SUMIF(#REF!,Normteile!C153,#REF!)</f>
        <v>#REF!</v>
      </c>
      <c r="F153" s="9" t="s">
        <v>897</v>
      </c>
      <c r="G153" s="16" t="s">
        <v>900</v>
      </c>
      <c r="L153" s="74" t="str">
        <f>IF(F153="Schraube",INDEX(Dropdown!$Q$5:$V$33,MATCH(Normteile!H153,Dropdown!$P$5:$P$33,0),MATCH(Normteile!K153,Dropdown!$Q$4:$V$4,0)),"-")</f>
        <v>-</v>
      </c>
      <c r="N153" s="16" t="s">
        <v>413</v>
      </c>
      <c r="O153" s="188"/>
      <c r="P153" s="9" t="s">
        <v>43</v>
      </c>
    </row>
    <row r="154" spans="1:17">
      <c r="A154" s="16">
        <v>149</v>
      </c>
      <c r="B154" s="8" t="s">
        <v>901</v>
      </c>
      <c r="C154" s="9" t="s">
        <v>902</v>
      </c>
      <c r="D154" s="45" t="s">
        <v>0</v>
      </c>
      <c r="E154" s="45" t="e">
        <f>SUMIF(#REF!,Normteile!C154,#REF!)</f>
        <v>#REF!</v>
      </c>
      <c r="L154" s="74" t="str">
        <f>IF(F154="Schraube",INDEX(Dropdown!$Q$5:$V$33,MATCH(Normteile!H154,Dropdown!$P$5:$P$33,0),MATCH(Normteile!K154,Dropdown!$Q$4:$V$4,0)),"-")</f>
        <v>-</v>
      </c>
      <c r="N154" s="16" t="s">
        <v>903</v>
      </c>
      <c r="O154" s="188"/>
      <c r="P154" s="9" t="s">
        <v>43</v>
      </c>
    </row>
    <row r="155" spans="1:17">
      <c r="A155" s="16">
        <v>150</v>
      </c>
      <c r="B155" s="16" t="s">
        <v>341</v>
      </c>
      <c r="C155" s="9" t="s">
        <v>904</v>
      </c>
      <c r="D155" s="45" t="s">
        <v>0</v>
      </c>
      <c r="E155" s="45" t="e">
        <f>SUMIF(#REF!,Normteile!C155,#REF!)</f>
        <v>#REF!</v>
      </c>
      <c r="L155" s="74" t="str">
        <f>IF(F155="Schraube",INDEX(Dropdown!$Q$5:$V$33,MATCH(Normteile!H155,Dropdown!$P$5:$P$33,0),MATCH(Normteile!K155,Dropdown!$Q$4:$V$4,0)),"-")</f>
        <v>-</v>
      </c>
      <c r="O155" s="188"/>
      <c r="P155" s="9" t="s">
        <v>43</v>
      </c>
    </row>
    <row r="156" spans="1:17">
      <c r="A156" s="16">
        <v>151</v>
      </c>
      <c r="B156" s="16" t="s">
        <v>342</v>
      </c>
      <c r="C156" s="9" t="s">
        <v>905</v>
      </c>
      <c r="D156" s="45" t="s">
        <v>0</v>
      </c>
      <c r="E156" s="45" t="e">
        <f>SUMIF(#REF!,Normteile!C156,#REF!)</f>
        <v>#REF!</v>
      </c>
      <c r="L156" s="74" t="str">
        <f>IF(F156="Schraube",INDEX(Dropdown!$Q$5:$V$33,MATCH(Normteile!H156,Dropdown!$P$5:$P$33,0),MATCH(Normteile!K156,Dropdown!$Q$4:$V$4,0)),"-")</f>
        <v>-</v>
      </c>
      <c r="O156" s="188"/>
      <c r="P156" s="9" t="s">
        <v>43</v>
      </c>
    </row>
    <row r="157" spans="1:17" ht="14.25" customHeight="1">
      <c r="A157" s="16">
        <v>152</v>
      </c>
      <c r="B157" s="50" t="s">
        <v>207</v>
      </c>
      <c r="C157" s="9" t="s">
        <v>906</v>
      </c>
      <c r="D157" s="45">
        <v>91914040</v>
      </c>
      <c r="E157" s="45" t="e">
        <f>SUMIF(#REF!,Normteile!C157,#REF!)</f>
        <v>#REF!</v>
      </c>
      <c r="F157" s="9" t="s">
        <v>672</v>
      </c>
      <c r="H157" s="9" t="s">
        <v>396</v>
      </c>
      <c r="L157" s="74" t="str">
        <f>IF(F157="Schraube",INDEX(Dropdown!$Q$5:$V$33,MATCH(Normteile!H157,Dropdown!$P$5:$P$33,0),MATCH(Normteile!K157,Dropdown!$Q$4:$V$4,0)),"-")</f>
        <v>-</v>
      </c>
      <c r="M157" s="16" t="s">
        <v>391</v>
      </c>
      <c r="N157" s="16" t="s">
        <v>175</v>
      </c>
      <c r="O157" s="188">
        <v>23317050300</v>
      </c>
      <c r="P157" s="9">
        <v>2E-3</v>
      </c>
      <c r="Q157" s="16" t="s">
        <v>907</v>
      </c>
    </row>
    <row r="158" spans="1:17">
      <c r="A158" s="16">
        <v>153</v>
      </c>
      <c r="B158" s="16" t="s">
        <v>44</v>
      </c>
      <c r="C158" s="9" t="s">
        <v>149</v>
      </c>
      <c r="D158" s="45">
        <v>91913973</v>
      </c>
      <c r="E158" s="45" t="e">
        <f>SUMIF(#REF!,Normteile!C158,#REF!)</f>
        <v>#REF!</v>
      </c>
      <c r="L158" s="74" t="str">
        <f>IF(F158="Schraube",INDEX(Dropdown!$Q$5:$V$33,MATCH(Normteile!H158,Dropdown!$P$5:$P$33,0),MATCH(Normteile!K158,Dropdown!$Q$4:$V$4,0)),"-")</f>
        <v>-</v>
      </c>
      <c r="O158" s="188"/>
      <c r="P158" s="9" t="s">
        <v>908</v>
      </c>
    </row>
    <row r="159" spans="1:17">
      <c r="A159" s="16">
        <v>154</v>
      </c>
      <c r="B159" s="16" t="s">
        <v>152</v>
      </c>
      <c r="C159" s="9" t="s">
        <v>151</v>
      </c>
      <c r="D159" s="45">
        <v>91913975</v>
      </c>
      <c r="E159" s="45" t="e">
        <f>SUMIF(#REF!,Normteile!C159,#REF!)</f>
        <v>#REF!</v>
      </c>
      <c r="F159" s="9" t="s">
        <v>386</v>
      </c>
      <c r="G159" s="16" t="s">
        <v>594</v>
      </c>
      <c r="H159" s="9" t="s">
        <v>403</v>
      </c>
      <c r="I159" s="16">
        <v>35</v>
      </c>
      <c r="J159" s="17" t="s">
        <v>595</v>
      </c>
      <c r="K159" s="49" t="s">
        <v>486</v>
      </c>
      <c r="L159" s="74">
        <f>IF(F159="Schraube",INDEX(Dropdown!$Q$5:$V$33,MATCH(Normteile!H159,Dropdown!$P$5:$P$33,0),MATCH(Normteile!K159,Dropdown!$Q$4:$V$4,0)),"-")</f>
        <v>24.93</v>
      </c>
      <c r="M159" s="16" t="s">
        <v>391</v>
      </c>
      <c r="N159" s="16" t="s">
        <v>175</v>
      </c>
      <c r="O159" s="188" t="s">
        <v>909</v>
      </c>
      <c r="P159" s="9">
        <v>2.1000000000000001E-2</v>
      </c>
      <c r="Q159" s="16" t="s">
        <v>910</v>
      </c>
    </row>
    <row r="160" spans="1:17">
      <c r="A160" s="16">
        <v>155</v>
      </c>
      <c r="B160" s="16" t="s">
        <v>143</v>
      </c>
      <c r="C160" s="9" t="s">
        <v>194</v>
      </c>
      <c r="D160" s="45">
        <v>91946434</v>
      </c>
      <c r="E160" s="45" t="e">
        <f>SUMIF(#REF!,Normteile!C160,#REF!)</f>
        <v>#REF!</v>
      </c>
      <c r="F160" s="9" t="s">
        <v>386</v>
      </c>
      <c r="G160" s="16" t="s">
        <v>559</v>
      </c>
      <c r="H160" s="9" t="s">
        <v>403</v>
      </c>
      <c r="I160" s="16">
        <v>25</v>
      </c>
      <c r="K160" s="49" t="s">
        <v>911</v>
      </c>
      <c r="L160" s="7"/>
      <c r="M160" s="16" t="s">
        <v>391</v>
      </c>
      <c r="N160" s="16" t="s">
        <v>175</v>
      </c>
      <c r="O160" s="188" t="s">
        <v>912</v>
      </c>
      <c r="P160" s="9">
        <v>0.02</v>
      </c>
      <c r="Q160" s="76" t="s">
        <v>913</v>
      </c>
    </row>
    <row r="161" spans="1:17">
      <c r="A161" s="16">
        <v>156</v>
      </c>
      <c r="B161" s="82" t="s">
        <v>180</v>
      </c>
      <c r="C161" s="9" t="s">
        <v>914</v>
      </c>
      <c r="D161" s="45">
        <v>91953041</v>
      </c>
      <c r="E161" s="45" t="e">
        <f>SUMIF(#REF!,Normteile!C161,#REF!)</f>
        <v>#REF!</v>
      </c>
      <c r="F161" s="9" t="s">
        <v>915</v>
      </c>
      <c r="G161" s="16" t="s">
        <v>916</v>
      </c>
      <c r="L161" s="7"/>
      <c r="M161" s="16" t="s">
        <v>391</v>
      </c>
      <c r="N161" s="16" t="s">
        <v>175</v>
      </c>
      <c r="O161" s="188"/>
      <c r="P161" s="9">
        <v>4.0000000000000001E-3</v>
      </c>
    </row>
    <row r="162" spans="1:17">
      <c r="A162" s="16">
        <v>157</v>
      </c>
      <c r="B162" s="16" t="s">
        <v>318</v>
      </c>
      <c r="C162" s="9" t="s">
        <v>917</v>
      </c>
      <c r="D162" s="45" t="s">
        <v>0</v>
      </c>
      <c r="E162" s="45" t="e">
        <f>SUMIF(#REF!,Normteile!C162,#REF!)</f>
        <v>#REF!</v>
      </c>
      <c r="F162" s="9" t="s">
        <v>386</v>
      </c>
      <c r="G162" s="16" t="s">
        <v>534</v>
      </c>
      <c r="H162" s="9" t="s">
        <v>388</v>
      </c>
      <c r="I162" s="16">
        <v>10</v>
      </c>
      <c r="J162" s="17" t="s">
        <v>535</v>
      </c>
      <c r="K162" s="49" t="s">
        <v>486</v>
      </c>
      <c r="L162" s="7"/>
      <c r="M162" s="16" t="s">
        <v>391</v>
      </c>
      <c r="N162" s="16" t="s">
        <v>175</v>
      </c>
      <c r="O162" s="188" t="s">
        <v>918</v>
      </c>
      <c r="P162" s="9">
        <v>1E-3</v>
      </c>
    </row>
    <row r="163" spans="1:17">
      <c r="A163" s="16">
        <v>158</v>
      </c>
      <c r="B163" s="16" t="s">
        <v>332</v>
      </c>
      <c r="C163" s="9" t="s">
        <v>919</v>
      </c>
      <c r="D163" s="45">
        <v>91946423</v>
      </c>
      <c r="E163" s="45" t="e">
        <f>SUMIF(#REF!,Normteile!C163,#REF!)</f>
        <v>#REF!</v>
      </c>
      <c r="F163" s="9" t="s">
        <v>386</v>
      </c>
      <c r="G163" s="16" t="s">
        <v>655</v>
      </c>
      <c r="H163" s="9">
        <v>4</v>
      </c>
      <c r="I163" s="16">
        <v>16</v>
      </c>
      <c r="L163" s="7"/>
      <c r="N163" s="16" t="s">
        <v>920</v>
      </c>
      <c r="O163" s="188" t="s">
        <v>921</v>
      </c>
      <c r="P163" s="9">
        <v>2E-3</v>
      </c>
    </row>
    <row r="164" spans="1:17">
      <c r="A164" s="16">
        <v>159</v>
      </c>
      <c r="B164" s="16" t="s">
        <v>355</v>
      </c>
      <c r="C164" s="9" t="s">
        <v>922</v>
      </c>
      <c r="D164" s="45" t="s">
        <v>0</v>
      </c>
      <c r="E164" s="45" t="e">
        <f>SUMIF(#REF!,Normteile!C164,#REF!)</f>
        <v>#REF!</v>
      </c>
      <c r="F164" s="9" t="s">
        <v>386</v>
      </c>
      <c r="G164" s="16" t="s">
        <v>484</v>
      </c>
      <c r="H164" s="9" t="s">
        <v>399</v>
      </c>
      <c r="I164" s="16">
        <v>16</v>
      </c>
      <c r="J164" s="17" t="s">
        <v>485</v>
      </c>
      <c r="K164" s="49" t="s">
        <v>486</v>
      </c>
      <c r="L164" s="7"/>
      <c r="M164" s="16" t="s">
        <v>391</v>
      </c>
      <c r="N164" s="16" t="s">
        <v>175</v>
      </c>
      <c r="O164" s="188" t="s">
        <v>923</v>
      </c>
      <c r="P164" s="9">
        <v>6.0000000000000001E-3</v>
      </c>
    </row>
    <row r="165" spans="1:17">
      <c r="A165" s="16">
        <v>160</v>
      </c>
      <c r="B165" s="16" t="s">
        <v>356</v>
      </c>
      <c r="C165" s="9" t="s">
        <v>924</v>
      </c>
      <c r="D165" s="45" t="s">
        <v>0</v>
      </c>
      <c r="E165" s="45" t="e">
        <f>SUMIF(#REF!,Normteile!C165,#REF!)</f>
        <v>#REF!</v>
      </c>
      <c r="F165" s="9" t="s">
        <v>925</v>
      </c>
      <c r="H165" s="9" t="s">
        <v>399</v>
      </c>
      <c r="J165" s="17" t="s">
        <v>926</v>
      </c>
      <c r="K165" s="49" t="s">
        <v>486</v>
      </c>
      <c r="L165" s="7"/>
      <c r="O165" s="188" t="s">
        <v>927</v>
      </c>
      <c r="P165" s="9">
        <v>2E-3</v>
      </c>
    </row>
    <row r="166" spans="1:17">
      <c r="A166" s="16">
        <v>161</v>
      </c>
      <c r="B166" s="16" t="s">
        <v>299</v>
      </c>
      <c r="C166" s="9" t="s">
        <v>928</v>
      </c>
      <c r="D166" s="45" t="s">
        <v>0</v>
      </c>
      <c r="E166" s="45" t="e">
        <f>SUMIF(#REF!,Normteile!C166,#REF!)</f>
        <v>#REF!</v>
      </c>
      <c r="F166" s="9" t="s">
        <v>915</v>
      </c>
      <c r="L166" s="7"/>
      <c r="M166" s="16" t="s">
        <v>391</v>
      </c>
      <c r="N166" s="16" t="s">
        <v>175</v>
      </c>
      <c r="O166" s="188" t="s">
        <v>929</v>
      </c>
      <c r="P166" s="9">
        <v>7.6429999999999998E-4</v>
      </c>
      <c r="Q166" s="16" t="s">
        <v>930</v>
      </c>
    </row>
    <row r="167" spans="1:17">
      <c r="A167" s="16">
        <v>162</v>
      </c>
      <c r="B167" s="16" t="s">
        <v>65</v>
      </c>
      <c r="C167" s="9" t="s">
        <v>931</v>
      </c>
      <c r="D167" s="45">
        <v>91946437</v>
      </c>
      <c r="E167" s="45" t="e">
        <f>SUMIF(#REF!,Normteile!C167,#REF!)</f>
        <v>#REF!</v>
      </c>
      <c r="F167" s="9" t="s">
        <v>570</v>
      </c>
      <c r="G167" s="16" t="s">
        <v>932</v>
      </c>
      <c r="J167" s="17" t="s">
        <v>933</v>
      </c>
      <c r="L167" s="7"/>
      <c r="N167" s="16" t="s">
        <v>137</v>
      </c>
      <c r="O167" s="188" t="s">
        <v>934</v>
      </c>
      <c r="P167" s="9" t="s">
        <v>43</v>
      </c>
      <c r="Q167" s="16" t="s">
        <v>935</v>
      </c>
    </row>
    <row r="168" spans="1:17">
      <c r="A168" s="16">
        <v>163</v>
      </c>
      <c r="B168" s="16" t="s">
        <v>62</v>
      </c>
      <c r="C168" s="9" t="s">
        <v>936</v>
      </c>
      <c r="D168" s="45">
        <v>91946433</v>
      </c>
      <c r="E168" s="45" t="e">
        <f>SUMIF(#REF!,Normteile!C168,#REF!)</f>
        <v>#REF!</v>
      </c>
      <c r="F168" s="9" t="s">
        <v>570</v>
      </c>
      <c r="G168" s="16" t="s">
        <v>937</v>
      </c>
      <c r="J168" s="17" t="s">
        <v>348</v>
      </c>
      <c r="L168" s="7"/>
      <c r="N168" s="16" t="s">
        <v>137</v>
      </c>
      <c r="O168" s="188"/>
      <c r="P168" s="9" t="s">
        <v>43</v>
      </c>
      <c r="Q168" s="16" t="s">
        <v>938</v>
      </c>
    </row>
    <row r="169" spans="1:17">
      <c r="A169" s="16">
        <v>164</v>
      </c>
      <c r="B169" s="89" t="s">
        <v>939</v>
      </c>
      <c r="C169" s="9" t="s">
        <v>940</v>
      </c>
      <c r="D169" s="45" t="s">
        <v>0</v>
      </c>
      <c r="E169" s="45" t="e">
        <f>SUMIF(#REF!,Normteile!C169,#REF!)</f>
        <v>#REF!</v>
      </c>
      <c r="F169" s="9" t="s">
        <v>570</v>
      </c>
      <c r="G169" s="16" t="s">
        <v>937</v>
      </c>
      <c r="J169" s="17" t="s">
        <v>933</v>
      </c>
      <c r="L169" s="7"/>
      <c r="M169" s="81"/>
      <c r="N169" s="16" t="s">
        <v>137</v>
      </c>
      <c r="O169" s="188">
        <v>490999032</v>
      </c>
      <c r="P169" s="9" t="s">
        <v>43</v>
      </c>
      <c r="Q169" s="16" t="s">
        <v>941</v>
      </c>
    </row>
    <row r="170" spans="1:17">
      <c r="A170" s="16">
        <v>165</v>
      </c>
      <c r="B170" s="37" t="s">
        <v>942</v>
      </c>
      <c r="C170" s="9" t="s">
        <v>216</v>
      </c>
      <c r="D170" s="45">
        <v>91946425</v>
      </c>
      <c r="E170" s="45" t="e">
        <f>SUMIF(#REF!,Normteile!C170,#REF!)</f>
        <v>#REF!</v>
      </c>
      <c r="F170" s="9" t="s">
        <v>386</v>
      </c>
      <c r="G170" s="16" t="s">
        <v>835</v>
      </c>
      <c r="H170" s="9" t="s">
        <v>399</v>
      </c>
      <c r="I170" s="16">
        <v>30</v>
      </c>
      <c r="J170" s="17" t="s">
        <v>943</v>
      </c>
      <c r="K170" s="49" t="s">
        <v>390</v>
      </c>
      <c r="L170" s="18">
        <v>10</v>
      </c>
      <c r="M170" s="98" t="s">
        <v>944</v>
      </c>
      <c r="N170" s="97" t="s">
        <v>347</v>
      </c>
      <c r="O170" s="190" t="s">
        <v>945</v>
      </c>
      <c r="P170" s="9">
        <v>0.01</v>
      </c>
    </row>
    <row r="171" spans="1:17">
      <c r="A171" s="16">
        <v>166</v>
      </c>
      <c r="B171" s="37" t="s">
        <v>54</v>
      </c>
      <c r="C171" s="9" t="s">
        <v>946</v>
      </c>
      <c r="D171" s="45">
        <v>91946426</v>
      </c>
      <c r="E171" s="45" t="e">
        <f>SUMIF(#REF!,Normteile!C171,#REF!)</f>
        <v>#REF!</v>
      </c>
      <c r="F171" s="9" t="s">
        <v>386</v>
      </c>
      <c r="G171" s="16" t="s">
        <v>835</v>
      </c>
      <c r="H171" s="9" t="s">
        <v>399</v>
      </c>
      <c r="I171" s="16">
        <v>35</v>
      </c>
      <c r="J171" s="17" t="s">
        <v>947</v>
      </c>
      <c r="K171" s="49" t="s">
        <v>390</v>
      </c>
      <c r="L171" s="7">
        <v>10</v>
      </c>
      <c r="M171" s="96" t="s">
        <v>944</v>
      </c>
      <c r="N171" s="16" t="s">
        <v>347</v>
      </c>
      <c r="O171" s="188" t="s">
        <v>948</v>
      </c>
      <c r="P171" s="9">
        <v>1.0999999999999999E-2</v>
      </c>
    </row>
    <row r="172" spans="1:17">
      <c r="A172" s="16">
        <v>167</v>
      </c>
      <c r="B172" s="16" t="s">
        <v>949</v>
      </c>
      <c r="C172" s="9" t="s">
        <v>950</v>
      </c>
      <c r="D172" s="45" t="s">
        <v>0</v>
      </c>
      <c r="E172" s="45" t="e">
        <f>SUMIF(#REF!,Normteile!C172,#REF!)</f>
        <v>#REF!</v>
      </c>
      <c r="F172" s="9" t="s">
        <v>672</v>
      </c>
      <c r="H172" s="9" t="s">
        <v>399</v>
      </c>
      <c r="L172" s="7"/>
      <c r="O172" s="188"/>
      <c r="P172" s="9" t="s">
        <v>43</v>
      </c>
    </row>
    <row r="173" spans="1:17">
      <c r="A173" s="16">
        <v>168</v>
      </c>
      <c r="B173" s="16" t="s">
        <v>326</v>
      </c>
      <c r="C173" s="9" t="s">
        <v>951</v>
      </c>
      <c r="D173" s="45" t="s">
        <v>0</v>
      </c>
      <c r="E173" s="45" t="e">
        <f>SUMIF(#REF!,Normteile!C173,#REF!)</f>
        <v>#REF!</v>
      </c>
      <c r="F173" s="9" t="s">
        <v>570</v>
      </c>
      <c r="G173" s="16" t="s">
        <v>937</v>
      </c>
      <c r="J173" s="17" t="s">
        <v>348</v>
      </c>
      <c r="L173" s="7"/>
      <c r="N173" s="16" t="s">
        <v>952</v>
      </c>
      <c r="O173" s="188">
        <v>4721412238</v>
      </c>
      <c r="P173" s="9" t="s">
        <v>43</v>
      </c>
    </row>
    <row r="174" spans="1:17">
      <c r="A174" s="16">
        <v>169</v>
      </c>
      <c r="B174" s="16" t="s">
        <v>14</v>
      </c>
      <c r="C174" s="9" t="s">
        <v>15</v>
      </c>
      <c r="D174" s="45" t="s">
        <v>0</v>
      </c>
      <c r="E174" s="45" t="e">
        <f>SUMIF(#REF!,Normteile!C174,#REF!)</f>
        <v>#REF!</v>
      </c>
      <c r="F174" s="9" t="s">
        <v>570</v>
      </c>
      <c r="G174" s="16" t="s">
        <v>937</v>
      </c>
      <c r="J174" s="17" t="s">
        <v>348</v>
      </c>
      <c r="L174" s="7"/>
      <c r="O174" s="188"/>
      <c r="P174" s="9" t="s">
        <v>43</v>
      </c>
    </row>
    <row r="175" spans="1:17">
      <c r="A175" s="16">
        <v>170</v>
      </c>
      <c r="B175" s="16" t="s">
        <v>40</v>
      </c>
      <c r="C175" s="9" t="s">
        <v>41</v>
      </c>
      <c r="D175" s="45" t="s">
        <v>0</v>
      </c>
      <c r="E175" s="45" t="e">
        <f>SUMIF(#REF!,Normteile!C175,#REF!)</f>
        <v>#REF!</v>
      </c>
      <c r="F175" s="9" t="s">
        <v>570</v>
      </c>
      <c r="G175" s="16" t="s">
        <v>571</v>
      </c>
      <c r="J175" s="17" t="s">
        <v>572</v>
      </c>
      <c r="L175" s="7"/>
      <c r="O175" s="188"/>
      <c r="P175" s="9" t="s">
        <v>43</v>
      </c>
    </row>
    <row r="176" spans="1:17">
      <c r="A176" s="16">
        <v>171</v>
      </c>
      <c r="B176" s="16" t="s">
        <v>5</v>
      </c>
      <c r="C176" s="9" t="s">
        <v>6</v>
      </c>
      <c r="D176" s="45" t="s">
        <v>0</v>
      </c>
      <c r="E176" s="45" t="e">
        <f>SUMIF(#REF!,Normteile!C176,#REF!)</f>
        <v>#REF!</v>
      </c>
      <c r="F176" s="9" t="s">
        <v>953</v>
      </c>
      <c r="G176" s="16" t="s">
        <v>954</v>
      </c>
      <c r="J176" s="17" t="s">
        <v>933</v>
      </c>
      <c r="L176" s="7"/>
      <c r="N176" s="16" t="s">
        <v>955</v>
      </c>
      <c r="O176" s="188"/>
      <c r="P176" s="9" t="s">
        <v>43</v>
      </c>
      <c r="Q176" s="103" t="s">
        <v>956</v>
      </c>
    </row>
    <row r="177" spans="1:17">
      <c r="A177" s="16">
        <v>172</v>
      </c>
      <c r="B177" s="16" t="s">
        <v>957</v>
      </c>
      <c r="C177" s="9" t="s">
        <v>958</v>
      </c>
      <c r="D177" s="45" t="s">
        <v>0</v>
      </c>
      <c r="E177" s="45"/>
      <c r="F177" s="9" t="s">
        <v>959</v>
      </c>
      <c r="G177" s="16" t="s">
        <v>417</v>
      </c>
      <c r="H177" s="9" t="s">
        <v>403</v>
      </c>
      <c r="J177" s="17" t="s">
        <v>418</v>
      </c>
      <c r="K177" s="49" t="s">
        <v>960</v>
      </c>
      <c r="L177" s="7">
        <v>24.93</v>
      </c>
      <c r="M177" s="16" t="s">
        <v>961</v>
      </c>
      <c r="N177" s="16" t="s">
        <v>962</v>
      </c>
      <c r="O177" s="188"/>
      <c r="P177" s="9" t="s">
        <v>43</v>
      </c>
      <c r="Q177" s="103" t="s">
        <v>963</v>
      </c>
    </row>
    <row r="178" spans="1:17">
      <c r="A178" s="16">
        <v>173</v>
      </c>
      <c r="B178" s="16" t="s">
        <v>964</v>
      </c>
      <c r="C178" s="9" t="s">
        <v>965</v>
      </c>
      <c r="D178" s="45" t="s">
        <v>0</v>
      </c>
      <c r="E178" s="45"/>
      <c r="F178" s="9" t="s">
        <v>454</v>
      </c>
      <c r="G178" s="16" t="s">
        <v>567</v>
      </c>
      <c r="H178" s="9" t="s">
        <v>388</v>
      </c>
      <c r="J178" s="17" t="s">
        <v>354</v>
      </c>
      <c r="L178" s="7"/>
      <c r="M178" s="16" t="s">
        <v>966</v>
      </c>
      <c r="N178" s="16" t="s">
        <v>175</v>
      </c>
      <c r="O178" s="188" t="s">
        <v>967</v>
      </c>
      <c r="P178" s="9" t="s">
        <v>43</v>
      </c>
      <c r="Q178" s="103" t="s">
        <v>968</v>
      </c>
    </row>
    <row r="179" spans="1:17">
      <c r="A179" s="16">
        <v>174</v>
      </c>
      <c r="B179" s="16" t="s">
        <v>204</v>
      </c>
      <c r="C179" s="9" t="s">
        <v>969</v>
      </c>
      <c r="D179" s="45" t="s">
        <v>0</v>
      </c>
      <c r="E179" s="45"/>
      <c r="F179" s="9" t="s">
        <v>915</v>
      </c>
      <c r="L179" s="7"/>
      <c r="M179" s="16" t="s">
        <v>966</v>
      </c>
      <c r="N179" s="16" t="s">
        <v>952</v>
      </c>
      <c r="O179" s="188">
        <v>22132240100</v>
      </c>
      <c r="P179" s="9" t="s">
        <v>43</v>
      </c>
      <c r="Q179" s="76" t="s">
        <v>970</v>
      </c>
    </row>
    <row r="180" spans="1:17">
      <c r="A180" s="16">
        <v>175</v>
      </c>
      <c r="B180" s="16" t="s">
        <v>971</v>
      </c>
      <c r="C180" s="9" t="s">
        <v>972</v>
      </c>
      <c r="D180" s="45" t="s">
        <v>0</v>
      </c>
      <c r="E180" s="45"/>
      <c r="F180" s="9" t="s">
        <v>915</v>
      </c>
      <c r="L180" s="7"/>
      <c r="M180" s="16" t="s">
        <v>966</v>
      </c>
      <c r="N180" s="16" t="s">
        <v>952</v>
      </c>
      <c r="O180" s="188">
        <v>22</v>
      </c>
      <c r="P180" s="9" t="s">
        <v>43</v>
      </c>
      <c r="Q180" s="76" t="s">
        <v>973</v>
      </c>
    </row>
    <row r="181" spans="1:17">
      <c r="A181" s="16">
        <v>176</v>
      </c>
      <c r="B181" s="16" t="s">
        <v>122</v>
      </c>
      <c r="C181" s="9" t="s">
        <v>121</v>
      </c>
      <c r="D181" s="45" t="s">
        <v>0</v>
      </c>
      <c r="E181" s="45"/>
      <c r="F181" s="9" t="s">
        <v>672</v>
      </c>
      <c r="H181" s="9" t="s">
        <v>399</v>
      </c>
      <c r="L181" s="7"/>
      <c r="N181" s="16" t="s">
        <v>175</v>
      </c>
      <c r="O181" s="188">
        <v>23317060600</v>
      </c>
      <c r="P181" s="9" t="s">
        <v>43</v>
      </c>
      <c r="Q181" s="16" t="s">
        <v>974</v>
      </c>
    </row>
    <row r="182" spans="1:17">
      <c r="A182" s="16">
        <v>177</v>
      </c>
      <c r="B182" s="16" t="s">
        <v>975</v>
      </c>
      <c r="C182" s="9" t="s">
        <v>976</v>
      </c>
      <c r="D182" s="45" t="s">
        <v>0</v>
      </c>
      <c r="E182" s="45"/>
      <c r="F182" s="9" t="s">
        <v>386</v>
      </c>
      <c r="G182" s="16" t="s">
        <v>559</v>
      </c>
      <c r="H182" s="9" t="s">
        <v>403</v>
      </c>
      <c r="L182" s="7"/>
      <c r="N182" s="16" t="s">
        <v>952</v>
      </c>
      <c r="O182" s="188" t="s">
        <v>977</v>
      </c>
      <c r="P182" s="9" t="s">
        <v>43</v>
      </c>
      <c r="Q182" s="16" t="s">
        <v>978</v>
      </c>
    </row>
    <row r="183" spans="1:17">
      <c r="A183" s="16">
        <v>178</v>
      </c>
      <c r="B183" s="16" t="s">
        <v>979</v>
      </c>
      <c r="C183" s="9" t="s">
        <v>980</v>
      </c>
      <c r="D183" s="45" t="s">
        <v>0</v>
      </c>
      <c r="E183" s="45"/>
      <c r="F183" s="9" t="s">
        <v>981</v>
      </c>
      <c r="H183" s="9" t="s">
        <v>388</v>
      </c>
      <c r="I183" s="16">
        <v>12.6</v>
      </c>
      <c r="L183" s="7"/>
      <c r="N183" s="16" t="s">
        <v>955</v>
      </c>
      <c r="O183" s="188"/>
      <c r="P183" s="9" t="s">
        <v>43</v>
      </c>
      <c r="Q183" s="103" t="s">
        <v>982</v>
      </c>
    </row>
    <row r="184" spans="1:17">
      <c r="A184" s="16">
        <v>179</v>
      </c>
      <c r="B184" s="16" t="s">
        <v>198</v>
      </c>
      <c r="C184" s="9" t="s">
        <v>983</v>
      </c>
      <c r="D184" s="45" t="s">
        <v>0</v>
      </c>
      <c r="E184" s="45"/>
      <c r="F184" s="9" t="s">
        <v>984</v>
      </c>
      <c r="G184" s="16" t="s">
        <v>985</v>
      </c>
      <c r="H184" s="9" t="s">
        <v>388</v>
      </c>
      <c r="I184" s="16">
        <v>16</v>
      </c>
      <c r="J184" s="17" t="s">
        <v>765</v>
      </c>
      <c r="K184" s="49" t="s">
        <v>486</v>
      </c>
      <c r="L184" s="16"/>
      <c r="M184" s="16" t="s">
        <v>966</v>
      </c>
      <c r="N184" s="16" t="s">
        <v>175</v>
      </c>
      <c r="O184" s="185" t="s">
        <v>986</v>
      </c>
      <c r="P184" s="9" t="s">
        <v>43</v>
      </c>
      <c r="Q184" s="103" t="s">
        <v>987</v>
      </c>
    </row>
    <row r="185" spans="1:17">
      <c r="A185" s="16">
        <v>180</v>
      </c>
      <c r="B185" s="16" t="s">
        <v>199</v>
      </c>
      <c r="C185" s="9" t="s">
        <v>988</v>
      </c>
      <c r="D185" s="45" t="s">
        <v>0</v>
      </c>
      <c r="E185" s="45"/>
      <c r="F185" s="9" t="s">
        <v>672</v>
      </c>
      <c r="H185" s="9" t="s">
        <v>388</v>
      </c>
      <c r="L185" s="7"/>
      <c r="N185" s="16" t="s">
        <v>175</v>
      </c>
      <c r="O185" s="188">
        <v>23317040250</v>
      </c>
      <c r="P185" s="9" t="s">
        <v>43</v>
      </c>
    </row>
    <row r="186" spans="1:17">
      <c r="A186" s="16">
        <v>181</v>
      </c>
      <c r="B186" s="16" t="s">
        <v>989</v>
      </c>
      <c r="C186" s="9" t="s">
        <v>990</v>
      </c>
      <c r="D186" s="45" t="s">
        <v>0</v>
      </c>
      <c r="E186" s="45"/>
      <c r="F186" s="9" t="s">
        <v>984</v>
      </c>
      <c r="H186" s="9" t="s">
        <v>403</v>
      </c>
      <c r="I186" s="16">
        <v>12</v>
      </c>
      <c r="J186" s="17" t="s">
        <v>485</v>
      </c>
      <c r="K186" s="49" t="s">
        <v>486</v>
      </c>
      <c r="L186" s="7"/>
      <c r="M186" s="16" t="s">
        <v>391</v>
      </c>
      <c r="N186" s="16" t="s">
        <v>175</v>
      </c>
      <c r="O186" s="188" t="s">
        <v>991</v>
      </c>
      <c r="P186" s="9" t="s">
        <v>43</v>
      </c>
      <c r="Q186" s="76" t="s">
        <v>992</v>
      </c>
    </row>
    <row r="187" spans="1:17">
      <c r="A187" s="16">
        <v>182</v>
      </c>
      <c r="B187" s="16" t="s">
        <v>145</v>
      </c>
      <c r="C187" s="9" t="s">
        <v>146</v>
      </c>
      <c r="D187" s="45" t="s">
        <v>0</v>
      </c>
      <c r="E187" s="45"/>
      <c r="F187" s="9" t="s">
        <v>993</v>
      </c>
      <c r="G187" s="16" t="s">
        <v>559</v>
      </c>
      <c r="H187" s="9" t="s">
        <v>399</v>
      </c>
      <c r="I187" s="16">
        <v>25</v>
      </c>
      <c r="L187" s="16"/>
      <c r="M187" s="16" t="s">
        <v>391</v>
      </c>
      <c r="N187" s="16" t="s">
        <v>175</v>
      </c>
      <c r="O187" s="188"/>
      <c r="P187" s="9" t="s">
        <v>43</v>
      </c>
    </row>
    <row r="188" spans="1:17">
      <c r="A188" s="16">
        <v>183</v>
      </c>
      <c r="B188" s="16" t="s">
        <v>197</v>
      </c>
      <c r="C188" s="9" t="s">
        <v>994</v>
      </c>
      <c r="D188" s="45" t="s">
        <v>0</v>
      </c>
      <c r="E188" s="45"/>
      <c r="F188" s="9" t="s">
        <v>386</v>
      </c>
      <c r="G188" s="16" t="s">
        <v>594</v>
      </c>
      <c r="H188" s="9" t="s">
        <v>388</v>
      </c>
      <c r="I188" s="16">
        <v>10</v>
      </c>
      <c r="J188" s="17" t="s">
        <v>595</v>
      </c>
      <c r="K188" s="49" t="s">
        <v>486</v>
      </c>
      <c r="L188" s="16">
        <f>IF(F188="Schraube",INDEX(Dropdown!$Q$5:$V$33,MATCH(Normteile!H188,Dropdown!$P$5:$P$33,0),MATCH(Normteile!K188,Dropdown!$Q$4:$V$4,0)),"-")</f>
        <v>2.97</v>
      </c>
      <c r="M188" s="16" t="s">
        <v>391</v>
      </c>
      <c r="N188" s="16" t="s">
        <v>175</v>
      </c>
      <c r="O188" s="188" t="s">
        <v>995</v>
      </c>
      <c r="P188" s="9" t="s">
        <v>43</v>
      </c>
    </row>
    <row r="189" spans="1:17">
      <c r="A189" s="16">
        <v>184</v>
      </c>
      <c r="B189" s="16" t="s">
        <v>996</v>
      </c>
      <c r="C189" s="9" t="s">
        <v>997</v>
      </c>
      <c r="D189" s="45" t="s">
        <v>0</v>
      </c>
      <c r="E189" s="45"/>
      <c r="F189" s="9" t="s">
        <v>386</v>
      </c>
      <c r="G189" s="16" t="s">
        <v>534</v>
      </c>
      <c r="H189" s="9" t="s">
        <v>396</v>
      </c>
      <c r="I189" s="16">
        <v>12</v>
      </c>
      <c r="J189" s="17" t="s">
        <v>535</v>
      </c>
      <c r="K189" s="49" t="s">
        <v>486</v>
      </c>
      <c r="L189" s="16">
        <f>IF(F189="Schraube",INDEX(Dropdown!$Q$5:$V$33,MATCH(Normteile!H189,Dropdown!$P$5:$P$33,0),MATCH(Normteile!K189,Dropdown!$Q$4:$V$4,0)),"-")</f>
        <v>6.03</v>
      </c>
      <c r="M189" s="16" t="s">
        <v>391</v>
      </c>
      <c r="N189" s="16" t="s">
        <v>175</v>
      </c>
      <c r="O189" s="188" t="s">
        <v>998</v>
      </c>
      <c r="P189" s="9" t="s">
        <v>43</v>
      </c>
    </row>
    <row r="190" spans="1:17">
      <c r="A190" s="16">
        <v>185</v>
      </c>
      <c r="B190" s="16" t="s">
        <v>206</v>
      </c>
      <c r="C190" s="9" t="s">
        <v>999</v>
      </c>
      <c r="D190" s="45" t="s">
        <v>0</v>
      </c>
      <c r="E190" s="45"/>
      <c r="F190" s="9" t="s">
        <v>386</v>
      </c>
      <c r="G190" s="16" t="s">
        <v>534</v>
      </c>
      <c r="H190" s="9" t="s">
        <v>388</v>
      </c>
      <c r="I190" s="16">
        <v>8</v>
      </c>
      <c r="J190" s="17" t="s">
        <v>1000</v>
      </c>
      <c r="K190" s="49" t="s">
        <v>486</v>
      </c>
      <c r="L190" s="16">
        <f>IF(F190="Schraube",INDEX(Dropdown!$Q$5:$V$33,MATCH(Normteile!H190,Dropdown!$P$5:$P$33,0),MATCH(Normteile!K190,Dropdown!$Q$4:$V$4,0)),"-")</f>
        <v>2.97</v>
      </c>
      <c r="M190" s="16" t="s">
        <v>391</v>
      </c>
      <c r="N190" s="16" t="s">
        <v>175</v>
      </c>
      <c r="O190" s="188" t="s">
        <v>1001</v>
      </c>
      <c r="P190" s="9" t="s">
        <v>43</v>
      </c>
    </row>
    <row r="191" spans="1:17">
      <c r="A191" s="16">
        <v>186</v>
      </c>
      <c r="B191" s="16" t="s">
        <v>1002</v>
      </c>
      <c r="C191" s="9" t="s">
        <v>1003</v>
      </c>
      <c r="D191" s="45" t="s">
        <v>0</v>
      </c>
      <c r="E191" s="45"/>
      <c r="F191" s="9" t="s">
        <v>672</v>
      </c>
      <c r="H191" s="9" t="s">
        <v>388</v>
      </c>
      <c r="L191" s="7"/>
      <c r="N191" s="16" t="s">
        <v>175</v>
      </c>
      <c r="O191" s="188" t="s">
        <v>1004</v>
      </c>
      <c r="P191" s="9" t="s">
        <v>43</v>
      </c>
      <c r="Q191" s="103" t="s">
        <v>1005</v>
      </c>
    </row>
    <row r="192" spans="1:17">
      <c r="A192" s="16">
        <v>187</v>
      </c>
      <c r="B192" s="16" t="s">
        <v>1006</v>
      </c>
      <c r="C192" s="9" t="s">
        <v>1007</v>
      </c>
      <c r="D192" s="45" t="s">
        <v>0</v>
      </c>
      <c r="E192" s="45"/>
      <c r="F192" s="9" t="s">
        <v>386</v>
      </c>
      <c r="G192" s="16" t="s">
        <v>484</v>
      </c>
      <c r="H192" s="9" t="s">
        <v>403</v>
      </c>
      <c r="I192" s="16">
        <v>45</v>
      </c>
      <c r="J192" s="17" t="s">
        <v>485</v>
      </c>
      <c r="K192" s="49" t="s">
        <v>486</v>
      </c>
      <c r="L192" s="7"/>
      <c r="M192" s="16" t="s">
        <v>391</v>
      </c>
      <c r="N192" s="16" t="s">
        <v>175</v>
      </c>
      <c r="O192" s="188" t="s">
        <v>1008</v>
      </c>
      <c r="P192" s="9" t="s">
        <v>43</v>
      </c>
    </row>
    <row r="193" spans="1:17">
      <c r="A193" s="16">
        <v>188</v>
      </c>
      <c r="B193" s="16" t="s">
        <v>1009</v>
      </c>
      <c r="C193" s="9" t="s">
        <v>1010</v>
      </c>
      <c r="D193" s="45" t="s">
        <v>0</v>
      </c>
      <c r="F193" s="9" t="s">
        <v>672</v>
      </c>
      <c r="H193" s="9" t="s">
        <v>399</v>
      </c>
      <c r="L193" s="7"/>
      <c r="M193" s="16" t="s">
        <v>391</v>
      </c>
      <c r="N193" s="16" t="s">
        <v>175</v>
      </c>
      <c r="O193" s="188">
        <v>23317060300</v>
      </c>
      <c r="P193" s="9" t="s">
        <v>43</v>
      </c>
    </row>
    <row r="194" spans="1:17">
      <c r="A194" s="16">
        <v>189</v>
      </c>
      <c r="B194" s="16" t="s">
        <v>1011</v>
      </c>
      <c r="C194" s="9" t="s">
        <v>1012</v>
      </c>
      <c r="D194" s="45" t="s">
        <v>0</v>
      </c>
      <c r="F194" s="9" t="s">
        <v>454</v>
      </c>
      <c r="G194" s="16" t="s">
        <v>803</v>
      </c>
      <c r="H194" s="9" t="s">
        <v>388</v>
      </c>
      <c r="J194" s="17" t="s">
        <v>1013</v>
      </c>
      <c r="K194" s="49" t="s">
        <v>466</v>
      </c>
      <c r="L194" s="7"/>
      <c r="M194" s="16" t="s">
        <v>391</v>
      </c>
      <c r="N194" s="16" t="s">
        <v>175</v>
      </c>
      <c r="O194" s="188" t="s">
        <v>1014</v>
      </c>
      <c r="P194" s="9" t="s">
        <v>43</v>
      </c>
    </row>
    <row r="195" spans="1:17">
      <c r="A195" s="16">
        <v>190</v>
      </c>
      <c r="B195" s="16" t="s">
        <v>139</v>
      </c>
      <c r="C195" s="9" t="s">
        <v>1015</v>
      </c>
      <c r="D195" s="45" t="s">
        <v>0</v>
      </c>
      <c r="F195" s="9" t="s">
        <v>1016</v>
      </c>
      <c r="H195" s="9" t="s">
        <v>403</v>
      </c>
      <c r="L195" s="7"/>
      <c r="N195" s="16" t="s">
        <v>175</v>
      </c>
      <c r="O195" s="188">
        <v>41300080016</v>
      </c>
      <c r="P195" s="9" t="s">
        <v>43</v>
      </c>
      <c r="Q195" s="103" t="s">
        <v>1017</v>
      </c>
    </row>
    <row r="196" spans="1:17">
      <c r="A196" s="16">
        <v>191</v>
      </c>
      <c r="B196" s="16" t="s">
        <v>1018</v>
      </c>
      <c r="C196" s="9" t="s">
        <v>1019</v>
      </c>
      <c r="D196" s="45" t="s">
        <v>0</v>
      </c>
      <c r="F196" s="9" t="s">
        <v>1020</v>
      </c>
      <c r="G196" s="16" t="s">
        <v>1021</v>
      </c>
      <c r="H196" s="9" t="s">
        <v>825</v>
      </c>
      <c r="J196" s="17" t="s">
        <v>1022</v>
      </c>
      <c r="L196" s="7"/>
      <c r="M196" s="16" t="s">
        <v>966</v>
      </c>
      <c r="N196" s="16" t="s">
        <v>175</v>
      </c>
      <c r="O196" s="188" t="s">
        <v>1023</v>
      </c>
      <c r="P196" s="9" t="s">
        <v>43</v>
      </c>
      <c r="Q196" s="103" t="s">
        <v>1024</v>
      </c>
    </row>
    <row r="197" spans="1:17">
      <c r="A197" s="16">
        <v>192</v>
      </c>
      <c r="B197" s="16" t="s">
        <v>141</v>
      </c>
      <c r="C197" s="9" t="s">
        <v>140</v>
      </c>
      <c r="D197" s="45" t="s">
        <v>0</v>
      </c>
      <c r="F197" s="9" t="s">
        <v>1020</v>
      </c>
      <c r="G197" s="16" t="s">
        <v>1021</v>
      </c>
      <c r="H197" s="9" t="s">
        <v>403</v>
      </c>
      <c r="J197" s="17" t="s">
        <v>1022</v>
      </c>
      <c r="L197" s="7"/>
      <c r="M197" s="16" t="s">
        <v>966</v>
      </c>
      <c r="N197" s="16" t="s">
        <v>175</v>
      </c>
      <c r="O197" s="188" t="s">
        <v>1025</v>
      </c>
      <c r="P197" s="9" t="s">
        <v>43</v>
      </c>
      <c r="Q197" s="103" t="s">
        <v>1024</v>
      </c>
    </row>
    <row r="198" spans="1:17">
      <c r="A198" s="16">
        <v>193</v>
      </c>
      <c r="B198" s="16" t="s">
        <v>177</v>
      </c>
      <c r="C198" s="9" t="s">
        <v>176</v>
      </c>
      <c r="D198" s="45" t="s">
        <v>0</v>
      </c>
      <c r="F198" s="9" t="s">
        <v>1020</v>
      </c>
      <c r="G198" s="16" t="s">
        <v>1021</v>
      </c>
      <c r="H198" s="9" t="s">
        <v>426</v>
      </c>
      <c r="J198" s="17" t="s">
        <v>1022</v>
      </c>
      <c r="L198" s="7"/>
      <c r="M198" s="16" t="s">
        <v>391</v>
      </c>
      <c r="N198" s="16" t="s">
        <v>175</v>
      </c>
      <c r="O198" s="188" t="s">
        <v>1026</v>
      </c>
      <c r="P198" s="9" t="s">
        <v>43</v>
      </c>
      <c r="Q198" s="103" t="s">
        <v>1024</v>
      </c>
    </row>
    <row r="199" spans="1:17">
      <c r="A199" s="16">
        <v>194</v>
      </c>
      <c r="B199" s="16" t="s">
        <v>1027</v>
      </c>
      <c r="C199" s="9" t="s">
        <v>1028</v>
      </c>
      <c r="D199" s="45" t="s">
        <v>0</v>
      </c>
      <c r="F199" s="9" t="s">
        <v>386</v>
      </c>
      <c r="G199" s="16" t="s">
        <v>559</v>
      </c>
      <c r="H199" s="9" t="s">
        <v>403</v>
      </c>
      <c r="I199" s="16">
        <v>35</v>
      </c>
      <c r="J199" s="17" t="s">
        <v>1029</v>
      </c>
      <c r="L199" s="7"/>
      <c r="M199" s="16" t="s">
        <v>391</v>
      </c>
      <c r="N199" s="16" t="s">
        <v>175</v>
      </c>
      <c r="O199" s="188" t="s">
        <v>1030</v>
      </c>
      <c r="P199" s="9" t="s">
        <v>43</v>
      </c>
      <c r="Q199" s="16" t="s">
        <v>1</v>
      </c>
    </row>
    <row r="200" spans="1:17">
      <c r="A200" s="16">
        <v>195</v>
      </c>
      <c r="B200" s="16" t="s">
        <v>22</v>
      </c>
      <c r="C200" s="9" t="s">
        <v>23</v>
      </c>
      <c r="D200" s="45" t="s">
        <v>0</v>
      </c>
      <c r="F200" s="9" t="s">
        <v>984</v>
      </c>
      <c r="H200" s="9" t="s">
        <v>403</v>
      </c>
      <c r="I200" s="16">
        <v>60</v>
      </c>
      <c r="J200" s="17" t="s">
        <v>1031</v>
      </c>
      <c r="L200" s="7"/>
      <c r="N200" s="16" t="s">
        <v>955</v>
      </c>
      <c r="O200" s="188" t="s">
        <v>1032</v>
      </c>
      <c r="P200" s="9" t="s">
        <v>43</v>
      </c>
      <c r="Q200" s="103" t="s">
        <v>1033</v>
      </c>
    </row>
    <row r="201" spans="1:17">
      <c r="A201" s="16">
        <v>196</v>
      </c>
      <c r="B201" s="16" t="s">
        <v>200</v>
      </c>
      <c r="C201" s="9" t="s">
        <v>1034</v>
      </c>
      <c r="D201" s="45" t="s">
        <v>0</v>
      </c>
      <c r="F201" s="9" t="s">
        <v>984</v>
      </c>
      <c r="G201" s="16" t="s">
        <v>1035</v>
      </c>
      <c r="H201" s="9" t="s">
        <v>396</v>
      </c>
      <c r="I201" s="16">
        <v>16</v>
      </c>
      <c r="J201" s="17" t="s">
        <v>485</v>
      </c>
      <c r="K201" s="49" t="s">
        <v>390</v>
      </c>
      <c r="L201" s="16"/>
      <c r="N201" s="16" t="s">
        <v>175</v>
      </c>
      <c r="O201" s="188" t="s">
        <v>1036</v>
      </c>
      <c r="P201" s="9" t="s">
        <v>43</v>
      </c>
      <c r="Q201" s="103" t="s">
        <v>1037</v>
      </c>
    </row>
    <row r="202" spans="1:17">
      <c r="A202" s="16">
        <v>197</v>
      </c>
      <c r="B202" s="16" t="s">
        <v>323</v>
      </c>
      <c r="C202" s="9" t="s">
        <v>1038</v>
      </c>
      <c r="D202" s="45" t="s">
        <v>0</v>
      </c>
      <c r="F202" s="9" t="s">
        <v>984</v>
      </c>
      <c r="G202" s="16" t="s">
        <v>594</v>
      </c>
      <c r="H202" s="9" t="s">
        <v>396</v>
      </c>
      <c r="I202" s="16">
        <v>25</v>
      </c>
      <c r="J202" s="17" t="s">
        <v>595</v>
      </c>
      <c r="K202" s="49" t="s">
        <v>960</v>
      </c>
      <c r="L202" s="7"/>
      <c r="M202" s="16" t="s">
        <v>391</v>
      </c>
      <c r="O202" s="188"/>
      <c r="P202" s="9" t="s">
        <v>43</v>
      </c>
    </row>
    <row r="203" spans="1:17">
      <c r="A203" s="16">
        <v>198</v>
      </c>
      <c r="B203" s="16" t="s">
        <v>1039</v>
      </c>
      <c r="C203" s="9" t="s">
        <v>1040</v>
      </c>
      <c r="D203" s="45" t="s">
        <v>0</v>
      </c>
      <c r="F203" s="9" t="s">
        <v>1016</v>
      </c>
      <c r="H203" s="9" t="s">
        <v>494</v>
      </c>
      <c r="L203" s="7"/>
      <c r="O203" s="188"/>
      <c r="P203" s="9" t="s">
        <v>43</v>
      </c>
    </row>
    <row r="204" spans="1:17">
      <c r="A204" s="16">
        <v>199</v>
      </c>
      <c r="B204" s="16" t="s">
        <v>10</v>
      </c>
      <c r="C204" s="9" t="s">
        <v>11</v>
      </c>
      <c r="D204" s="45" t="s">
        <v>0</v>
      </c>
      <c r="F204" s="9" t="s">
        <v>386</v>
      </c>
      <c r="G204" s="16" t="s">
        <v>484</v>
      </c>
      <c r="H204" s="9" t="s">
        <v>403</v>
      </c>
      <c r="I204" s="16">
        <v>230</v>
      </c>
      <c r="J204" s="17" t="s">
        <v>1041</v>
      </c>
      <c r="K204" s="49" t="s">
        <v>390</v>
      </c>
      <c r="L204" s="74">
        <f>IF(F204="Schraube",INDEX(Dropdown!$Q$5:$V$33,MATCH(Normteile!H204,Dropdown!$P$5:$P$33,0),MATCH(Normteile!K204,Dropdown!$Q$4:$V$4,0)),"-")</f>
        <v>35.06</v>
      </c>
      <c r="M204" s="16" t="s">
        <v>391</v>
      </c>
      <c r="N204" s="16" t="s">
        <v>137</v>
      </c>
      <c r="O204" s="188" t="s">
        <v>1042</v>
      </c>
      <c r="P204" s="9" t="s">
        <v>43</v>
      </c>
      <c r="Q204" s="76" t="s">
        <v>1043</v>
      </c>
    </row>
    <row r="205" spans="1:17">
      <c r="A205" s="16">
        <v>200</v>
      </c>
      <c r="B205" s="16" t="s">
        <v>50</v>
      </c>
      <c r="C205" s="9" t="s">
        <v>1044</v>
      </c>
      <c r="D205" s="45" t="s">
        <v>0</v>
      </c>
      <c r="F205" s="9" t="s">
        <v>386</v>
      </c>
      <c r="G205" s="16" t="s">
        <v>559</v>
      </c>
      <c r="H205" s="9" t="s">
        <v>403</v>
      </c>
      <c r="I205" s="16">
        <v>45</v>
      </c>
      <c r="L205" s="7"/>
      <c r="M205" s="16" t="s">
        <v>391</v>
      </c>
      <c r="N205" s="16" t="s">
        <v>175</v>
      </c>
      <c r="O205" s="188" t="s">
        <v>1045</v>
      </c>
      <c r="P205" s="9" t="s">
        <v>43</v>
      </c>
      <c r="Q205" s="16" t="s">
        <v>1046</v>
      </c>
    </row>
    <row r="206" spans="1:17">
      <c r="A206" s="16">
        <v>201</v>
      </c>
      <c r="B206" s="16" t="s">
        <v>209</v>
      </c>
      <c r="C206" s="9" t="s">
        <v>1047</v>
      </c>
      <c r="D206" s="45" t="s">
        <v>0</v>
      </c>
      <c r="F206" s="9" t="s">
        <v>386</v>
      </c>
      <c r="G206" s="16" t="s">
        <v>594</v>
      </c>
      <c r="H206" s="9" t="s">
        <v>388</v>
      </c>
      <c r="I206" s="16">
        <v>8</v>
      </c>
      <c r="J206" s="17" t="s">
        <v>595</v>
      </c>
      <c r="K206" s="49" t="s">
        <v>486</v>
      </c>
      <c r="L206" s="74">
        <f>IF(F206="Schraube",INDEX(Dropdown!$Q$5:$V$33,MATCH(Normteile!H206,Dropdown!$P$5:$P$33,0),MATCH(Normteile!K206,Dropdown!$Q$4:$V$4,0)),"-")</f>
        <v>2.97</v>
      </c>
      <c r="M206" s="16" t="s">
        <v>391</v>
      </c>
      <c r="N206" s="16" t="s">
        <v>175</v>
      </c>
      <c r="O206" s="188" t="s">
        <v>1048</v>
      </c>
      <c r="P206" s="9" t="s">
        <v>43</v>
      </c>
      <c r="Q206" s="76" t="s">
        <v>1049</v>
      </c>
    </row>
    <row r="207" spans="1:17">
      <c r="A207" s="16">
        <v>202</v>
      </c>
      <c r="B207" s="3" t="s">
        <v>235</v>
      </c>
      <c r="C207" s="9" t="s">
        <v>234</v>
      </c>
      <c r="D207" s="45" t="s">
        <v>0</v>
      </c>
      <c r="F207" s="9" t="s">
        <v>386</v>
      </c>
      <c r="G207" s="16" t="s">
        <v>559</v>
      </c>
      <c r="H207" s="9" t="s">
        <v>426</v>
      </c>
      <c r="I207" s="16">
        <v>60</v>
      </c>
      <c r="L207" s="7"/>
      <c r="M207" s="16" t="s">
        <v>391</v>
      </c>
      <c r="N207" s="16" t="s">
        <v>175</v>
      </c>
      <c r="O207" s="190" t="s">
        <v>1050</v>
      </c>
      <c r="P207" s="9" t="s">
        <v>43</v>
      </c>
      <c r="Q207" s="103" t="s">
        <v>1051</v>
      </c>
    </row>
    <row r="208" spans="1:17">
      <c r="A208" s="16">
        <v>203</v>
      </c>
      <c r="B208" s="16" t="s">
        <v>34</v>
      </c>
      <c r="C208" s="9" t="s">
        <v>35</v>
      </c>
      <c r="D208" s="45" t="s">
        <v>0</v>
      </c>
      <c r="F208" s="9" t="s">
        <v>454</v>
      </c>
      <c r="G208" s="16" t="s">
        <v>454</v>
      </c>
      <c r="H208" s="9" t="s">
        <v>426</v>
      </c>
      <c r="J208" s="17" t="s">
        <v>462</v>
      </c>
      <c r="K208" s="49" t="s">
        <v>486</v>
      </c>
      <c r="L208" s="7"/>
      <c r="M208" s="16" t="s">
        <v>391</v>
      </c>
      <c r="N208" s="16" t="s">
        <v>175</v>
      </c>
      <c r="O208" t="s">
        <v>1052</v>
      </c>
      <c r="P208" s="9" t="s">
        <v>43</v>
      </c>
      <c r="Q208" s="103" t="s">
        <v>1053</v>
      </c>
    </row>
    <row r="209" spans="1:17">
      <c r="A209" s="16">
        <v>204</v>
      </c>
      <c r="B209" s="16" t="s">
        <v>205</v>
      </c>
      <c r="C209" s="9" t="s">
        <v>364</v>
      </c>
      <c r="D209" s="45" t="s">
        <v>0</v>
      </c>
      <c r="F209" s="9" t="s">
        <v>386</v>
      </c>
      <c r="G209" s="16" t="s">
        <v>534</v>
      </c>
      <c r="H209" s="9" t="s">
        <v>388</v>
      </c>
      <c r="J209" s="17" t="s">
        <v>1054</v>
      </c>
      <c r="K209" s="49" t="s">
        <v>390</v>
      </c>
      <c r="L209" s="74">
        <f>IF(F209="Schraube",INDEX(Dropdown!$Q$5:$V$33,MATCH(Normteile!H209,Dropdown!$P$5:$P$33,0),MATCH(Normteile!K209,Dropdown!$Q$4:$V$4,0)),"-")</f>
        <v>4.18</v>
      </c>
      <c r="M209" s="16" t="s">
        <v>391</v>
      </c>
      <c r="N209" s="16" t="s">
        <v>955</v>
      </c>
      <c r="O209" s="188" t="s">
        <v>1055</v>
      </c>
      <c r="P209" s="9" t="s">
        <v>43</v>
      </c>
      <c r="Q209" s="76" t="s">
        <v>1056</v>
      </c>
    </row>
    <row r="210" spans="1:17">
      <c r="A210" s="16">
        <v>205</v>
      </c>
      <c r="B210" s="16" t="s">
        <v>166</v>
      </c>
      <c r="C210" s="9" t="s">
        <v>1057</v>
      </c>
      <c r="D210" s="45" t="s">
        <v>0</v>
      </c>
      <c r="F210" s="9" t="s">
        <v>454</v>
      </c>
      <c r="G210" s="16" t="s">
        <v>454</v>
      </c>
      <c r="H210" s="9" t="s">
        <v>388</v>
      </c>
      <c r="J210" s="17" t="s">
        <v>462</v>
      </c>
      <c r="L210" s="7"/>
      <c r="M210" s="16" t="s">
        <v>391</v>
      </c>
      <c r="N210" s="16" t="s">
        <v>175</v>
      </c>
      <c r="O210" s="188">
        <v>98584</v>
      </c>
      <c r="P210" s="9" t="s">
        <v>43</v>
      </c>
      <c r="Q210" s="76" t="s">
        <v>1058</v>
      </c>
    </row>
    <row r="211" spans="1:17">
      <c r="A211" s="16">
        <v>206</v>
      </c>
      <c r="B211" s="16" t="s">
        <v>1059</v>
      </c>
      <c r="C211" s="9" t="s">
        <v>1060</v>
      </c>
      <c r="D211" s="45" t="s">
        <v>0</v>
      </c>
      <c r="F211" s="9" t="s">
        <v>984</v>
      </c>
      <c r="G211" s="16" t="s">
        <v>1035</v>
      </c>
      <c r="H211" s="9" t="s">
        <v>399</v>
      </c>
      <c r="I211" s="16">
        <v>50</v>
      </c>
      <c r="J211" s="17" t="s">
        <v>485</v>
      </c>
      <c r="K211" s="49" t="s">
        <v>486</v>
      </c>
      <c r="L211" s="7"/>
      <c r="M211" s="16" t="s">
        <v>391</v>
      </c>
      <c r="N211" s="16" t="s">
        <v>175</v>
      </c>
      <c r="O211" s="188" t="s">
        <v>1061</v>
      </c>
      <c r="P211" s="9" t="s">
        <v>43</v>
      </c>
      <c r="Q211" s="103" t="s">
        <v>1037</v>
      </c>
    </row>
    <row r="212" spans="1:17">
      <c r="A212" s="16">
        <v>207</v>
      </c>
      <c r="B212" s="16" t="s">
        <v>1062</v>
      </c>
      <c r="C212" s="9" t="s">
        <v>1063</v>
      </c>
      <c r="D212" s="45" t="s">
        <v>0</v>
      </c>
      <c r="F212" s="9" t="s">
        <v>386</v>
      </c>
      <c r="G212" s="16" t="s">
        <v>1035</v>
      </c>
      <c r="H212" s="9" t="s">
        <v>403</v>
      </c>
      <c r="I212" s="16">
        <v>80</v>
      </c>
      <c r="J212" s="17" t="s">
        <v>485</v>
      </c>
      <c r="K212" s="49" t="s">
        <v>486</v>
      </c>
      <c r="L212" s="7"/>
      <c r="M212" s="16" t="s">
        <v>391</v>
      </c>
      <c r="N212" s="16" t="s">
        <v>175</v>
      </c>
      <c r="O212" s="188" t="s">
        <v>1064</v>
      </c>
      <c r="P212" s="9" t="s">
        <v>43</v>
      </c>
      <c r="Q212" s="103" t="s">
        <v>1037</v>
      </c>
    </row>
    <row r="213" spans="1:17">
      <c r="A213" s="16">
        <v>208</v>
      </c>
      <c r="B213" s="16" t="s">
        <v>203</v>
      </c>
      <c r="C213" s="9" t="s">
        <v>1065</v>
      </c>
      <c r="D213" s="9" t="s">
        <v>0</v>
      </c>
      <c r="E213" s="45" t="e">
        <f>SUMIF(#REF!,Normteile!C213,#REF!)</f>
        <v>#REF!</v>
      </c>
      <c r="F213" s="9" t="s">
        <v>386</v>
      </c>
      <c r="G213" s="16" t="s">
        <v>534</v>
      </c>
      <c r="H213" s="9" t="s">
        <v>388</v>
      </c>
      <c r="I213" s="16">
        <v>12</v>
      </c>
      <c r="J213" s="17" t="s">
        <v>535</v>
      </c>
      <c r="L213" s="7"/>
      <c r="N213" s="16" t="s">
        <v>175</v>
      </c>
      <c r="O213" s="188" t="s">
        <v>1066</v>
      </c>
      <c r="P213" s="9" t="s">
        <v>43</v>
      </c>
    </row>
    <row r="214" spans="1:17">
      <c r="A214" s="16">
        <v>209</v>
      </c>
      <c r="B214" s="16" t="s">
        <v>1067</v>
      </c>
      <c r="C214" s="9" t="s">
        <v>1068</v>
      </c>
      <c r="D214" s="9" t="s">
        <v>0</v>
      </c>
      <c r="E214" s="45" t="e">
        <f>SUMIF(#REF!,Normteile!C214,#REF!)</f>
        <v>#REF!</v>
      </c>
      <c r="F214" s="9" t="s">
        <v>386</v>
      </c>
      <c r="G214" s="16" t="s">
        <v>1069</v>
      </c>
      <c r="H214" s="9" t="s">
        <v>396</v>
      </c>
      <c r="I214" s="16">
        <v>8</v>
      </c>
      <c r="J214" s="17" t="s">
        <v>1070</v>
      </c>
      <c r="K214" s="49" t="s">
        <v>1071</v>
      </c>
      <c r="L214" s="7"/>
      <c r="M214" s="16" t="s">
        <v>391</v>
      </c>
      <c r="N214" s="16" t="s">
        <v>175</v>
      </c>
      <c r="O214" s="188" t="s">
        <v>1072</v>
      </c>
      <c r="P214" s="9" t="s">
        <v>43</v>
      </c>
      <c r="Q214" s="16" t="s">
        <v>1073</v>
      </c>
    </row>
    <row r="215" spans="1:17">
      <c r="A215" s="16">
        <v>210</v>
      </c>
      <c r="B215" s="16" t="s">
        <v>1074</v>
      </c>
      <c r="C215" s="9" t="s">
        <v>1075</v>
      </c>
      <c r="D215" s="9" t="s">
        <v>0</v>
      </c>
      <c r="E215" s="45" t="e">
        <f>SUMIF(#REF!,Normteile!C215,#REF!)</f>
        <v>#REF!</v>
      </c>
      <c r="F215" s="9" t="s">
        <v>386</v>
      </c>
      <c r="G215" s="16" t="s">
        <v>1069</v>
      </c>
      <c r="H215" s="9" t="s">
        <v>396</v>
      </c>
      <c r="I215" s="16">
        <v>10</v>
      </c>
      <c r="J215" s="17" t="s">
        <v>1070</v>
      </c>
      <c r="K215" s="49" t="s">
        <v>1071</v>
      </c>
      <c r="L215" s="7"/>
      <c r="M215" s="16" t="s">
        <v>391</v>
      </c>
      <c r="N215" s="16" t="s">
        <v>175</v>
      </c>
      <c r="O215" s="188" t="s">
        <v>1076</v>
      </c>
      <c r="P215" s="9" t="s">
        <v>43</v>
      </c>
      <c r="Q215" s="16" t="s">
        <v>1077</v>
      </c>
    </row>
    <row r="216" spans="1:17">
      <c r="A216" s="16">
        <v>211</v>
      </c>
      <c r="B216" s="16" t="s">
        <v>1078</v>
      </c>
      <c r="C216" s="9" t="s">
        <v>1079</v>
      </c>
      <c r="D216" s="9" t="s">
        <v>0</v>
      </c>
      <c r="E216" s="45" t="e">
        <f>SUMIF(#REF!,Normteile!C216,#REF!)</f>
        <v>#REF!</v>
      </c>
      <c r="F216" s="9" t="s">
        <v>386</v>
      </c>
      <c r="G216" s="16" t="s">
        <v>484</v>
      </c>
      <c r="H216" s="9" t="s">
        <v>426</v>
      </c>
      <c r="I216" s="16">
        <v>230</v>
      </c>
      <c r="J216" s="17" t="s">
        <v>495</v>
      </c>
      <c r="K216" s="49" t="s">
        <v>486</v>
      </c>
      <c r="L216" s="7"/>
      <c r="M216" s="16" t="s">
        <v>391</v>
      </c>
      <c r="N216" s="16" t="s">
        <v>137</v>
      </c>
      <c r="O216" s="188" t="s">
        <v>1080</v>
      </c>
      <c r="P216" s="9" t="s">
        <v>43</v>
      </c>
      <c r="Q216" s="76" t="s">
        <v>1081</v>
      </c>
    </row>
    <row r="217" spans="1:17">
      <c r="A217" s="16">
        <v>212</v>
      </c>
      <c r="B217" s="16" t="s">
        <v>1082</v>
      </c>
      <c r="C217" s="9" t="s">
        <v>1083</v>
      </c>
      <c r="D217" s="9" t="s">
        <v>0</v>
      </c>
      <c r="F217" s="9" t="s">
        <v>1084</v>
      </c>
      <c r="I217" s="16">
        <v>10</v>
      </c>
      <c r="L217" s="7"/>
      <c r="N217" s="16" t="s">
        <v>952</v>
      </c>
      <c r="O217" s="188">
        <v>22132140100</v>
      </c>
      <c r="P217" s="9" t="s">
        <v>43</v>
      </c>
      <c r="Q217" s="103" t="s">
        <v>1085</v>
      </c>
    </row>
    <row r="218" spans="1:17">
      <c r="A218" s="16">
        <v>213</v>
      </c>
      <c r="B218" s="16" t="s">
        <v>245</v>
      </c>
      <c r="C218" s="9" t="s">
        <v>266</v>
      </c>
      <c r="D218" s="9" t="s">
        <v>0</v>
      </c>
      <c r="F218" s="9" t="s">
        <v>1086</v>
      </c>
      <c r="H218" s="9" t="s">
        <v>399</v>
      </c>
      <c r="L218" s="7"/>
      <c r="M218" s="16" t="s">
        <v>794</v>
      </c>
      <c r="N218" s="16" t="s">
        <v>137</v>
      </c>
      <c r="O218" s="188" t="s">
        <v>1087</v>
      </c>
      <c r="P218" s="9" t="s">
        <v>43</v>
      </c>
      <c r="Q218" s="76" t="s">
        <v>1088</v>
      </c>
    </row>
    <row r="219" spans="1:17">
      <c r="A219" s="16">
        <v>214</v>
      </c>
      <c r="B219" s="16" t="s">
        <v>1089</v>
      </c>
      <c r="C219" s="9" t="s">
        <v>201</v>
      </c>
      <c r="D219" s="9" t="s">
        <v>0</v>
      </c>
      <c r="F219" s="9" t="s">
        <v>386</v>
      </c>
      <c r="G219" s="16" t="s">
        <v>594</v>
      </c>
      <c r="H219" s="9" t="s">
        <v>399</v>
      </c>
      <c r="I219" s="16">
        <v>30</v>
      </c>
      <c r="J219" s="17" t="s">
        <v>595</v>
      </c>
      <c r="K219" s="49" t="s">
        <v>390</v>
      </c>
      <c r="L219" s="7"/>
      <c r="M219" s="16" t="s">
        <v>391</v>
      </c>
      <c r="N219" s="16" t="s">
        <v>952</v>
      </c>
      <c r="O219" s="188" t="s">
        <v>1090</v>
      </c>
      <c r="P219" s="9" t="s">
        <v>43</v>
      </c>
      <c r="Q219" s="16" t="s">
        <v>1091</v>
      </c>
    </row>
    <row r="220" spans="1:17">
      <c r="A220" s="16">
        <v>215</v>
      </c>
      <c r="B220" s="16" t="s">
        <v>247</v>
      </c>
      <c r="C220" s="9" t="s">
        <v>1092</v>
      </c>
      <c r="D220" s="9" t="s">
        <v>0</v>
      </c>
      <c r="F220" s="9" t="s">
        <v>386</v>
      </c>
      <c r="G220" s="16" t="s">
        <v>594</v>
      </c>
      <c r="H220" s="9" t="s">
        <v>388</v>
      </c>
      <c r="I220" s="16">
        <v>30</v>
      </c>
      <c r="J220" s="17" t="s">
        <v>595</v>
      </c>
      <c r="K220" s="49" t="s">
        <v>486</v>
      </c>
      <c r="L220" s="7"/>
      <c r="M220" s="16" t="s">
        <v>391</v>
      </c>
      <c r="N220" s="16" t="s">
        <v>952</v>
      </c>
      <c r="O220" s="188" t="s">
        <v>1093</v>
      </c>
      <c r="P220" s="9" t="s">
        <v>43</v>
      </c>
      <c r="Q220" s="76" t="s">
        <v>1094</v>
      </c>
    </row>
    <row r="221" spans="1:17">
      <c r="A221" s="16">
        <v>216</v>
      </c>
      <c r="B221" s="16" t="s">
        <v>1095</v>
      </c>
      <c r="C221" s="9" t="s">
        <v>1096</v>
      </c>
      <c r="D221" s="9" t="s">
        <v>0</v>
      </c>
      <c r="F221" s="9" t="s">
        <v>386</v>
      </c>
      <c r="G221" s="16" t="s">
        <v>594</v>
      </c>
      <c r="H221" s="9" t="s">
        <v>388</v>
      </c>
      <c r="I221" s="16">
        <v>45</v>
      </c>
      <c r="J221" s="17" t="s">
        <v>595</v>
      </c>
      <c r="K221" s="49" t="s">
        <v>486</v>
      </c>
      <c r="L221" s="7"/>
      <c r="M221" s="16" t="s">
        <v>391</v>
      </c>
      <c r="N221" s="16" t="s">
        <v>952</v>
      </c>
      <c r="O221" s="188" t="s">
        <v>1097</v>
      </c>
      <c r="P221" s="9" t="s">
        <v>43</v>
      </c>
      <c r="Q221" s="16" t="s">
        <v>1098</v>
      </c>
    </row>
    <row r="222" spans="1:17">
      <c r="A222" s="16">
        <v>217</v>
      </c>
      <c r="B222" s="16" t="s">
        <v>170</v>
      </c>
      <c r="C222" s="9" t="s">
        <v>1099</v>
      </c>
      <c r="D222" s="9" t="s">
        <v>0</v>
      </c>
      <c r="F222" s="9" t="s">
        <v>386</v>
      </c>
      <c r="G222" s="16" t="s">
        <v>594</v>
      </c>
      <c r="H222" s="9" t="s">
        <v>388</v>
      </c>
      <c r="I222" s="16">
        <v>50</v>
      </c>
      <c r="J222" s="17" t="s">
        <v>595</v>
      </c>
      <c r="K222" s="49" t="s">
        <v>486</v>
      </c>
      <c r="L222" s="7"/>
      <c r="M222" s="16" t="s">
        <v>391</v>
      </c>
      <c r="N222" s="16" t="s">
        <v>952</v>
      </c>
      <c r="O222" s="188" t="s">
        <v>1100</v>
      </c>
      <c r="P222" s="9" t="s">
        <v>43</v>
      </c>
      <c r="Q222" s="16" t="s">
        <v>1101</v>
      </c>
    </row>
    <row r="223" spans="1:17">
      <c r="A223" s="16">
        <v>218</v>
      </c>
      <c r="B223" s="19" t="s">
        <v>61</v>
      </c>
      <c r="C223" s="9" t="s">
        <v>1102</v>
      </c>
      <c r="D223" s="9" t="s">
        <v>0</v>
      </c>
      <c r="F223" s="9" t="s">
        <v>430</v>
      </c>
      <c r="G223" s="16" t="s">
        <v>1103</v>
      </c>
      <c r="H223" s="9" t="s">
        <v>399</v>
      </c>
      <c r="J223" s="17" t="s">
        <v>0</v>
      </c>
      <c r="K223" s="49" t="s">
        <v>0</v>
      </c>
      <c r="L223" s="7" t="s">
        <v>0</v>
      </c>
      <c r="M223" s="16" t="s">
        <v>0</v>
      </c>
      <c r="N223" s="16" t="s">
        <v>137</v>
      </c>
      <c r="O223" s="188" t="s">
        <v>1104</v>
      </c>
      <c r="Q223" s="76" t="s">
        <v>1105</v>
      </c>
    </row>
    <row r="224" spans="1:17">
      <c r="A224" s="16">
        <v>219</v>
      </c>
      <c r="B224" s="16" t="s">
        <v>239</v>
      </c>
      <c r="C224" s="9" t="s">
        <v>238</v>
      </c>
      <c r="D224" s="9" t="s">
        <v>0</v>
      </c>
      <c r="F224" s="9" t="s">
        <v>386</v>
      </c>
      <c r="G224" s="16" t="s">
        <v>1035</v>
      </c>
      <c r="H224" s="9" t="s">
        <v>426</v>
      </c>
      <c r="I224" s="16">
        <v>45</v>
      </c>
      <c r="J224" s="17" t="s">
        <v>1106</v>
      </c>
      <c r="K224" s="49" t="s">
        <v>486</v>
      </c>
      <c r="L224" s="7"/>
      <c r="M224" s="16" t="s">
        <v>391</v>
      </c>
      <c r="N224" s="16" t="s">
        <v>955</v>
      </c>
      <c r="O224" s="191">
        <v>27401045</v>
      </c>
      <c r="P224" s="9" t="s">
        <v>43</v>
      </c>
      <c r="Q224" s="103" t="s">
        <v>1107</v>
      </c>
    </row>
    <row r="225" spans="1:17">
      <c r="A225" s="16">
        <v>220</v>
      </c>
      <c r="B225" s="16" t="s">
        <v>1108</v>
      </c>
      <c r="C225" s="9" t="s">
        <v>1109</v>
      </c>
      <c r="D225" s="9" t="s">
        <v>0</v>
      </c>
      <c r="F225" s="9" t="s">
        <v>386</v>
      </c>
      <c r="G225" s="16" t="s">
        <v>594</v>
      </c>
      <c r="H225" s="9" t="s">
        <v>388</v>
      </c>
      <c r="I225" s="16">
        <v>16</v>
      </c>
      <c r="J225" s="17" t="s">
        <v>765</v>
      </c>
      <c r="K225" s="49" t="s">
        <v>486</v>
      </c>
      <c r="L225" s="7"/>
      <c r="M225" s="16" t="s">
        <v>1110</v>
      </c>
      <c r="N225" s="16" t="s">
        <v>955</v>
      </c>
      <c r="O225" s="191" t="s">
        <v>1111</v>
      </c>
      <c r="P225" s="9" t="s">
        <v>43</v>
      </c>
      <c r="Q225" s="16" t="s">
        <v>1112</v>
      </c>
    </row>
    <row r="226" spans="1:17">
      <c r="A226" s="16">
        <v>221</v>
      </c>
      <c r="B226" s="16" t="s">
        <v>167</v>
      </c>
      <c r="C226" s="9" t="s">
        <v>1113</v>
      </c>
      <c r="D226" s="9" t="s">
        <v>0</v>
      </c>
      <c r="F226" s="9" t="s">
        <v>386</v>
      </c>
      <c r="G226" s="16" t="s">
        <v>594</v>
      </c>
      <c r="H226" s="9" t="s">
        <v>388</v>
      </c>
      <c r="I226" s="16">
        <v>20</v>
      </c>
      <c r="J226" s="17" t="s">
        <v>765</v>
      </c>
      <c r="K226" s="49" t="s">
        <v>486</v>
      </c>
      <c r="L226" s="7"/>
      <c r="M226" s="16" t="s">
        <v>1114</v>
      </c>
      <c r="N226" s="16" t="s">
        <v>137</v>
      </c>
      <c r="O226" s="188" t="s">
        <v>1115</v>
      </c>
      <c r="P226" s="9" t="s">
        <v>43</v>
      </c>
      <c r="Q226" s="16" t="s">
        <v>1116</v>
      </c>
    </row>
    <row r="227" spans="1:17">
      <c r="A227" s="16">
        <v>222</v>
      </c>
      <c r="B227" s="16" t="s">
        <v>250</v>
      </c>
      <c r="C227" s="9" t="s">
        <v>361</v>
      </c>
      <c r="D227" s="9" t="s">
        <v>0</v>
      </c>
      <c r="F227" s="9" t="s">
        <v>386</v>
      </c>
      <c r="G227" s="16" t="s">
        <v>484</v>
      </c>
      <c r="H227" s="9" t="s">
        <v>399</v>
      </c>
      <c r="I227" s="16">
        <v>45</v>
      </c>
      <c r="J227" s="17" t="s">
        <v>485</v>
      </c>
      <c r="K227" s="49" t="s">
        <v>486</v>
      </c>
      <c r="L227" s="7"/>
      <c r="M227" s="16" t="s">
        <v>391</v>
      </c>
      <c r="N227" s="16" t="s">
        <v>175</v>
      </c>
      <c r="O227" s="188" t="s">
        <v>1117</v>
      </c>
      <c r="Q227" s="16" t="s">
        <v>1118</v>
      </c>
    </row>
    <row r="228" spans="1:17">
      <c r="A228" s="16">
        <v>223</v>
      </c>
      <c r="B228" s="16" t="s">
        <v>248</v>
      </c>
      <c r="C228" s="9" t="s">
        <v>1119</v>
      </c>
      <c r="D228" s="9" t="s">
        <v>0</v>
      </c>
      <c r="E228" s="9" t="s">
        <v>0</v>
      </c>
      <c r="F228" s="9" t="s">
        <v>430</v>
      </c>
      <c r="G228" s="16" t="s">
        <v>1120</v>
      </c>
      <c r="H228" s="9" t="s">
        <v>399</v>
      </c>
      <c r="J228" s="17" t="s">
        <v>0</v>
      </c>
      <c r="K228" s="49" t="s">
        <v>0</v>
      </c>
      <c r="L228" s="7" t="s">
        <v>0</v>
      </c>
      <c r="M228" s="16" t="s">
        <v>0</v>
      </c>
      <c r="N228" s="16" t="s">
        <v>1121</v>
      </c>
      <c r="O228" s="188" t="s">
        <v>1122</v>
      </c>
      <c r="P228" s="9" t="s">
        <v>0</v>
      </c>
      <c r="Q228" s="76" t="s">
        <v>1123</v>
      </c>
    </row>
    <row r="229" spans="1:17">
      <c r="A229" s="16">
        <v>224</v>
      </c>
      <c r="B229" s="16" t="s">
        <v>249</v>
      </c>
      <c r="C229" s="9" t="s">
        <v>360</v>
      </c>
      <c r="D229" s="9" t="s">
        <v>0</v>
      </c>
      <c r="E229" s="9" t="s">
        <v>0</v>
      </c>
      <c r="F229" s="9" t="s">
        <v>430</v>
      </c>
      <c r="G229" s="16" t="s">
        <v>1021</v>
      </c>
      <c r="H229" s="9" t="s">
        <v>399</v>
      </c>
      <c r="J229" s="17" t="s">
        <v>1022</v>
      </c>
      <c r="L229" s="7"/>
      <c r="M229" s="16" t="s">
        <v>391</v>
      </c>
      <c r="N229" s="16" t="s">
        <v>952</v>
      </c>
      <c r="O229" s="188" t="s">
        <v>1025</v>
      </c>
      <c r="Q229" s="16" t="s">
        <v>1124</v>
      </c>
    </row>
    <row r="230" spans="1:17">
      <c r="A230" s="16">
        <v>225</v>
      </c>
      <c r="B230" s="16" t="s">
        <v>252</v>
      </c>
      <c r="C230" s="9" t="s">
        <v>363</v>
      </c>
      <c r="D230" s="9" t="s">
        <v>0</v>
      </c>
      <c r="F230" s="9" t="s">
        <v>386</v>
      </c>
      <c r="G230" s="16" t="s">
        <v>484</v>
      </c>
      <c r="H230" s="9" t="s">
        <v>399</v>
      </c>
      <c r="I230" s="16">
        <v>90</v>
      </c>
      <c r="J230" s="17" t="s">
        <v>485</v>
      </c>
      <c r="K230" s="49" t="s">
        <v>486</v>
      </c>
      <c r="L230" s="7"/>
      <c r="M230" s="16" t="s">
        <v>391</v>
      </c>
      <c r="N230" s="16" t="s">
        <v>952</v>
      </c>
      <c r="O230" s="191" t="s">
        <v>1125</v>
      </c>
      <c r="Q230" s="16" t="s">
        <v>1126</v>
      </c>
    </row>
    <row r="231" spans="1:17">
      <c r="A231" s="16">
        <v>226</v>
      </c>
      <c r="B231" s="16" t="s">
        <v>251</v>
      </c>
      <c r="C231" s="9" t="s">
        <v>362</v>
      </c>
      <c r="D231" s="9" t="s">
        <v>0</v>
      </c>
      <c r="F231" s="9" t="s">
        <v>386</v>
      </c>
      <c r="G231" s="16" t="s">
        <v>484</v>
      </c>
      <c r="H231" s="9" t="s">
        <v>399</v>
      </c>
      <c r="I231" s="16">
        <v>70</v>
      </c>
      <c r="J231" s="17" t="s">
        <v>485</v>
      </c>
      <c r="K231" s="49" t="s">
        <v>486</v>
      </c>
      <c r="L231" s="7"/>
      <c r="M231" s="16" t="s">
        <v>391</v>
      </c>
      <c r="N231" s="16" t="s">
        <v>952</v>
      </c>
      <c r="O231" s="191" t="s">
        <v>1127</v>
      </c>
    </row>
    <row r="232" spans="1:17">
      <c r="A232" s="16">
        <v>227</v>
      </c>
      <c r="B232" s="16" t="s">
        <v>254</v>
      </c>
      <c r="C232" s="9" t="s">
        <v>1128</v>
      </c>
      <c r="D232" s="9" t="s">
        <v>0</v>
      </c>
      <c r="F232" s="9" t="s">
        <v>454</v>
      </c>
      <c r="G232" s="16" t="s">
        <v>567</v>
      </c>
      <c r="H232" s="9" t="s">
        <v>388</v>
      </c>
      <c r="J232" s="17" t="s">
        <v>1129</v>
      </c>
      <c r="K232" s="49" t="s">
        <v>466</v>
      </c>
      <c r="L232" s="7"/>
      <c r="M232" s="16" t="s">
        <v>391</v>
      </c>
      <c r="N232" s="16" t="s">
        <v>952</v>
      </c>
      <c r="O232" s="191">
        <v>98584</v>
      </c>
      <c r="Q232" s="16" t="s">
        <v>1130</v>
      </c>
    </row>
    <row r="233" spans="1:17">
      <c r="A233" s="16">
        <v>228</v>
      </c>
      <c r="B233" s="16" t="s">
        <v>253</v>
      </c>
      <c r="C233" s="9" t="s">
        <v>1131</v>
      </c>
      <c r="D233" s="9" t="s">
        <v>0</v>
      </c>
      <c r="F233" s="9" t="s">
        <v>386</v>
      </c>
      <c r="G233" s="16" t="s">
        <v>594</v>
      </c>
      <c r="H233" s="9" t="s">
        <v>399</v>
      </c>
      <c r="I233" s="16">
        <v>16</v>
      </c>
      <c r="J233" s="17" t="s">
        <v>595</v>
      </c>
      <c r="K233" s="49" t="s">
        <v>486</v>
      </c>
      <c r="L233" s="7"/>
      <c r="M233" s="16" t="s">
        <v>391</v>
      </c>
      <c r="N233" s="16" t="s">
        <v>175</v>
      </c>
      <c r="O233" s="191" t="s">
        <v>1132</v>
      </c>
      <c r="Q233" s="16" t="s">
        <v>1133</v>
      </c>
    </row>
    <row r="234" spans="1:17">
      <c r="A234" s="16">
        <v>229</v>
      </c>
      <c r="B234" s="16" t="s">
        <v>255</v>
      </c>
      <c r="C234" s="9" t="s">
        <v>1134</v>
      </c>
      <c r="D234" s="9" t="s">
        <v>0</v>
      </c>
      <c r="F234" s="9" t="s">
        <v>454</v>
      </c>
      <c r="G234" s="16" t="s">
        <v>567</v>
      </c>
      <c r="H234" s="9" t="s">
        <v>399</v>
      </c>
      <c r="J234" s="17" t="s">
        <v>1129</v>
      </c>
      <c r="K234" s="49" t="s">
        <v>466</v>
      </c>
      <c r="L234" s="7"/>
      <c r="M234" s="16" t="s">
        <v>391</v>
      </c>
      <c r="N234" s="16" t="s">
        <v>175</v>
      </c>
      <c r="O234" s="191">
        <v>98586</v>
      </c>
      <c r="Q234" s="16" t="s">
        <v>1135</v>
      </c>
    </row>
    <row r="235" spans="1:17">
      <c r="A235" s="16">
        <v>230</v>
      </c>
      <c r="B235" s="16" t="s">
        <v>237</v>
      </c>
      <c r="C235" s="9" t="s">
        <v>1136</v>
      </c>
      <c r="D235" s="9" t="s">
        <v>0</v>
      </c>
      <c r="F235" s="9" t="s">
        <v>386</v>
      </c>
      <c r="G235" s="16" t="s">
        <v>594</v>
      </c>
      <c r="H235" s="9" t="s">
        <v>426</v>
      </c>
      <c r="I235" s="16">
        <v>30</v>
      </c>
      <c r="J235" s="17" t="s">
        <v>595</v>
      </c>
      <c r="K235" s="49" t="s">
        <v>486</v>
      </c>
      <c r="L235" s="7"/>
      <c r="M235" s="16" t="s">
        <v>391</v>
      </c>
      <c r="N235" s="16" t="s">
        <v>175</v>
      </c>
      <c r="O235" s="188" t="s">
        <v>1137</v>
      </c>
    </row>
    <row r="236" spans="1:17">
      <c r="A236" s="16">
        <v>231</v>
      </c>
      <c r="B236" s="16" t="s">
        <v>51</v>
      </c>
      <c r="C236" s="9" t="s">
        <v>1138</v>
      </c>
      <c r="D236" s="9" t="s">
        <v>0</v>
      </c>
      <c r="F236" s="9" t="s">
        <v>454</v>
      </c>
      <c r="G236" s="16" t="s">
        <v>567</v>
      </c>
      <c r="H236" s="9" t="s">
        <v>426</v>
      </c>
      <c r="J236" s="17" t="s">
        <v>1129</v>
      </c>
      <c r="K236" s="49" t="s">
        <v>466</v>
      </c>
      <c r="L236" s="7"/>
      <c r="M236" s="16" t="s">
        <v>391</v>
      </c>
      <c r="N236" s="16" t="s">
        <v>175</v>
      </c>
      <c r="O236" s="188" t="s">
        <v>1139</v>
      </c>
    </row>
    <row r="237" spans="1:17">
      <c r="A237" s="16">
        <v>232</v>
      </c>
      <c r="B237" s="16" t="s">
        <v>38</v>
      </c>
      <c r="C237" s="9" t="s">
        <v>39</v>
      </c>
      <c r="D237" s="9" t="s">
        <v>0</v>
      </c>
      <c r="F237" s="9" t="s">
        <v>570</v>
      </c>
      <c r="G237" s="16" t="s">
        <v>571</v>
      </c>
      <c r="J237" s="17" t="s">
        <v>572</v>
      </c>
      <c r="L237" s="7"/>
      <c r="N237" s="16" t="s">
        <v>175</v>
      </c>
      <c r="O237" s="191" t="s">
        <v>1140</v>
      </c>
    </row>
    <row r="238" spans="1:17">
      <c r="A238" s="16">
        <v>233</v>
      </c>
      <c r="B238" s="16" t="s">
        <v>36</v>
      </c>
      <c r="C238" s="9" t="s">
        <v>37</v>
      </c>
      <c r="D238" s="9" t="s">
        <v>0</v>
      </c>
      <c r="F238" s="9" t="s">
        <v>1141</v>
      </c>
      <c r="G238" s="16" t="s">
        <v>1141</v>
      </c>
      <c r="J238" s="17" t="s">
        <v>1142</v>
      </c>
      <c r="L238" s="7"/>
      <c r="N238" s="16" t="s">
        <v>175</v>
      </c>
      <c r="O238" s="191">
        <v>68856625</v>
      </c>
    </row>
    <row r="239" spans="1:17">
      <c r="A239" s="16">
        <v>234</v>
      </c>
      <c r="B239" s="16" t="s">
        <v>223</v>
      </c>
      <c r="C239" s="9" t="s">
        <v>1143</v>
      </c>
      <c r="D239" s="9" t="s">
        <v>0</v>
      </c>
      <c r="F239" s="9" t="s">
        <v>386</v>
      </c>
      <c r="G239" s="16" t="s">
        <v>417</v>
      </c>
      <c r="H239" s="9" t="s">
        <v>399</v>
      </c>
      <c r="I239" s="16">
        <v>35</v>
      </c>
      <c r="J239" s="17" t="s">
        <v>418</v>
      </c>
      <c r="K239" s="49" t="s">
        <v>960</v>
      </c>
      <c r="L239" s="7"/>
      <c r="N239" s="16" t="s">
        <v>1144</v>
      </c>
      <c r="O239" s="191" t="s">
        <v>1145</v>
      </c>
      <c r="Q239" s="16" t="s">
        <v>1146</v>
      </c>
    </row>
    <row r="240" spans="1:17">
      <c r="A240" s="16">
        <v>235</v>
      </c>
      <c r="B240" s="16" t="s">
        <v>58</v>
      </c>
      <c r="C240" s="9" t="s">
        <v>1147</v>
      </c>
      <c r="D240" s="9" t="s">
        <v>0</v>
      </c>
      <c r="F240" s="9" t="s">
        <v>430</v>
      </c>
      <c r="G240" s="16" t="s">
        <v>1148</v>
      </c>
      <c r="J240" s="17" t="s">
        <v>1149</v>
      </c>
      <c r="L240" s="7"/>
      <c r="M240" s="16" t="s">
        <v>391</v>
      </c>
      <c r="N240" s="16" t="s">
        <v>175</v>
      </c>
      <c r="O240" s="191" t="s">
        <v>1150</v>
      </c>
      <c r="Q240" s="76" t="s">
        <v>1151</v>
      </c>
    </row>
    <row r="241" spans="1:17">
      <c r="A241" s="16">
        <v>236</v>
      </c>
      <c r="B241" s="16" t="s">
        <v>208</v>
      </c>
      <c r="C241" s="9" t="s">
        <v>1152</v>
      </c>
      <c r="D241" s="9" t="s">
        <v>0</v>
      </c>
      <c r="F241" s="9" t="s">
        <v>672</v>
      </c>
      <c r="G241" s="16" t="s">
        <v>1153</v>
      </c>
      <c r="H241" s="9" t="s">
        <v>396</v>
      </c>
      <c r="L241" s="7"/>
      <c r="N241" s="16" t="s">
        <v>1154</v>
      </c>
      <c r="O241" s="191">
        <v>1455367</v>
      </c>
      <c r="Q241" s="76" t="s">
        <v>1155</v>
      </c>
    </row>
    <row r="242" spans="1:17">
      <c r="A242" s="16">
        <v>237</v>
      </c>
      <c r="B242" s="16" t="s">
        <v>1156</v>
      </c>
      <c r="C242" s="9" t="s">
        <v>1157</v>
      </c>
      <c r="D242" s="9" t="s">
        <v>0</v>
      </c>
      <c r="F242" s="9" t="s">
        <v>386</v>
      </c>
      <c r="G242" s="16" t="s">
        <v>534</v>
      </c>
      <c r="H242" s="9" t="s">
        <v>388</v>
      </c>
      <c r="I242" s="16">
        <v>6</v>
      </c>
      <c r="J242" s="17" t="s">
        <v>535</v>
      </c>
      <c r="K242" s="49" t="s">
        <v>486</v>
      </c>
      <c r="L242" s="7"/>
      <c r="M242" s="16" t="s">
        <v>391</v>
      </c>
      <c r="N242" s="16" t="s">
        <v>137</v>
      </c>
      <c r="O242" s="191" t="s">
        <v>1158</v>
      </c>
      <c r="Q242" s="76" t="s">
        <v>1159</v>
      </c>
    </row>
    <row r="243" spans="1:17">
      <c r="A243" s="16">
        <v>238</v>
      </c>
      <c r="B243" s="16" t="s">
        <v>210</v>
      </c>
      <c r="C243" s="9" t="s">
        <v>1160</v>
      </c>
      <c r="D243" s="9" t="s">
        <v>0</v>
      </c>
      <c r="F243" s="9" t="s">
        <v>386</v>
      </c>
      <c r="G243" s="16" t="s">
        <v>484</v>
      </c>
      <c r="H243" s="9" t="s">
        <v>399</v>
      </c>
      <c r="I243" s="16">
        <v>35</v>
      </c>
      <c r="J243" s="17" t="s">
        <v>485</v>
      </c>
      <c r="K243" s="49" t="s">
        <v>390</v>
      </c>
      <c r="L243" s="7"/>
      <c r="M243" s="16" t="s">
        <v>391</v>
      </c>
      <c r="N243" s="16" t="s">
        <v>175</v>
      </c>
      <c r="O243" s="191" t="s">
        <v>1161</v>
      </c>
      <c r="Q243" s="76" t="s">
        <v>1162</v>
      </c>
    </row>
    <row r="244" spans="1:17">
      <c r="A244" s="16">
        <v>239</v>
      </c>
      <c r="B244" s="16" t="s">
        <v>67</v>
      </c>
      <c r="C244" s="9" t="s">
        <v>1163</v>
      </c>
      <c r="D244" s="9" t="s">
        <v>128</v>
      </c>
      <c r="F244" s="9" t="s">
        <v>454</v>
      </c>
      <c r="G244" s="16" t="s">
        <v>567</v>
      </c>
      <c r="H244" s="9" t="s">
        <v>403</v>
      </c>
      <c r="J244" s="17" t="s">
        <v>1129</v>
      </c>
      <c r="K244" s="49" t="s">
        <v>486</v>
      </c>
      <c r="L244" s="7"/>
      <c r="M244" s="16" t="s">
        <v>391</v>
      </c>
      <c r="N244" s="16" t="s">
        <v>175</v>
      </c>
      <c r="O244" s="191">
        <v>98588</v>
      </c>
      <c r="Q244" s="76" t="s">
        <v>1164</v>
      </c>
    </row>
    <row r="245" spans="1:17">
      <c r="A245" s="16">
        <v>240</v>
      </c>
      <c r="B245" s="16" t="s">
        <v>193</v>
      </c>
      <c r="C245" s="9" t="s">
        <v>1165</v>
      </c>
      <c r="D245" s="9" t="s">
        <v>128</v>
      </c>
      <c r="F245" s="9" t="s">
        <v>672</v>
      </c>
      <c r="G245" s="16" t="s">
        <v>1153</v>
      </c>
      <c r="H245" s="9" t="s">
        <v>403</v>
      </c>
      <c r="L245" s="7"/>
      <c r="M245" s="16" t="s">
        <v>391</v>
      </c>
      <c r="N245" s="16" t="s">
        <v>663</v>
      </c>
      <c r="O245" s="191">
        <v>94832008</v>
      </c>
      <c r="Q245" s="76" t="s">
        <v>1166</v>
      </c>
    </row>
    <row r="246" spans="1:17">
      <c r="A246" s="16">
        <v>241</v>
      </c>
      <c r="B246" s="16" t="s">
        <v>32</v>
      </c>
      <c r="C246" s="9" t="s">
        <v>33</v>
      </c>
      <c r="D246" s="9" t="s">
        <v>0</v>
      </c>
      <c r="F246" s="9" t="s">
        <v>386</v>
      </c>
      <c r="G246" s="16" t="s">
        <v>1035</v>
      </c>
      <c r="H246" s="9" t="s">
        <v>426</v>
      </c>
      <c r="I246" s="16">
        <v>50</v>
      </c>
      <c r="J246" s="17" t="s">
        <v>1106</v>
      </c>
      <c r="K246" s="49" t="s">
        <v>486</v>
      </c>
      <c r="L246" s="7"/>
      <c r="M246" s="16" t="s">
        <v>391</v>
      </c>
      <c r="N246" s="16" t="s">
        <v>955</v>
      </c>
      <c r="O246" s="191">
        <v>27401050</v>
      </c>
      <c r="P246" s="9" t="s">
        <v>43</v>
      </c>
      <c r="Q246" s="103" t="s">
        <v>1167</v>
      </c>
    </row>
    <row r="247" spans="1:17">
      <c r="A247" s="16">
        <v>242</v>
      </c>
      <c r="B247" s="15" t="s">
        <v>25</v>
      </c>
      <c r="C247" s="22" t="s">
        <v>26</v>
      </c>
      <c r="D247" s="15" t="s">
        <v>2</v>
      </c>
      <c r="E247" s="15" t="s">
        <v>2</v>
      </c>
      <c r="F247" s="22" t="s">
        <v>386</v>
      </c>
      <c r="G247" s="15" t="s">
        <v>1168</v>
      </c>
      <c r="H247" s="22" t="s">
        <v>403</v>
      </c>
      <c r="I247" s="15">
        <v>65</v>
      </c>
      <c r="J247" s="15" t="s">
        <v>1169</v>
      </c>
      <c r="K247" s="49" t="s">
        <v>390</v>
      </c>
      <c r="L247" s="15" t="s">
        <v>2</v>
      </c>
      <c r="M247" s="15" t="s">
        <v>391</v>
      </c>
      <c r="N247" s="15" t="s">
        <v>137</v>
      </c>
      <c r="O247" s="191" t="s">
        <v>1170</v>
      </c>
      <c r="P247" s="15" t="s">
        <v>2</v>
      </c>
      <c r="Q247" s="176" t="s">
        <v>1171</v>
      </c>
    </row>
    <row r="248" spans="1:17">
      <c r="A248" s="96">
        <v>243</v>
      </c>
      <c r="B248" s="177" t="s">
        <v>241</v>
      </c>
      <c r="C248" s="114" t="s">
        <v>1172</v>
      </c>
      <c r="D248" s="177" t="s">
        <v>2</v>
      </c>
      <c r="E248" s="177" t="s">
        <v>2</v>
      </c>
      <c r="F248" s="114" t="s">
        <v>454</v>
      </c>
      <c r="G248" s="177" t="s">
        <v>1173</v>
      </c>
      <c r="H248" s="114" t="s">
        <v>403</v>
      </c>
      <c r="I248" s="177" t="s">
        <v>2</v>
      </c>
      <c r="J248" s="177" t="s">
        <v>1174</v>
      </c>
      <c r="K248" s="49" t="s">
        <v>486</v>
      </c>
      <c r="L248" s="177" t="s">
        <v>2</v>
      </c>
      <c r="M248" s="177" t="s">
        <v>391</v>
      </c>
      <c r="N248" s="177" t="s">
        <v>2</v>
      </c>
      <c r="O248" s="191" t="s">
        <v>1175</v>
      </c>
      <c r="P248" s="177" t="s">
        <v>2</v>
      </c>
      <c r="Q248" s="178" t="s">
        <v>1176</v>
      </c>
    </row>
    <row r="249" spans="1:17">
      <c r="A249" s="96">
        <v>244</v>
      </c>
      <c r="B249" s="177" t="s">
        <v>242</v>
      </c>
      <c r="C249" s="114" t="s">
        <v>1177</v>
      </c>
      <c r="D249" s="177" t="s">
        <v>2</v>
      </c>
      <c r="E249" s="177" t="s">
        <v>2</v>
      </c>
      <c r="F249" s="114" t="s">
        <v>386</v>
      </c>
      <c r="G249" s="177" t="s">
        <v>1168</v>
      </c>
      <c r="H249" s="114" t="s">
        <v>403</v>
      </c>
      <c r="I249" s="177">
        <v>30</v>
      </c>
      <c r="J249" s="177" t="s">
        <v>1169</v>
      </c>
      <c r="K249" s="49" t="s">
        <v>486</v>
      </c>
      <c r="L249" s="177" t="s">
        <v>2</v>
      </c>
      <c r="M249" s="177" t="s">
        <v>391</v>
      </c>
      <c r="N249" s="177" t="s">
        <v>2</v>
      </c>
      <c r="O249" s="191" t="s">
        <v>1178</v>
      </c>
      <c r="P249" s="177" t="s">
        <v>2</v>
      </c>
      <c r="Q249" s="178" t="s">
        <v>1179</v>
      </c>
    </row>
    <row r="250" spans="1:17">
      <c r="A250" s="96">
        <v>245</v>
      </c>
      <c r="B250" s="177" t="s">
        <v>243</v>
      </c>
      <c r="C250" s="114" t="s">
        <v>1180</v>
      </c>
      <c r="D250" s="177" t="s">
        <v>2</v>
      </c>
      <c r="E250" s="177" t="s">
        <v>2</v>
      </c>
      <c r="F250" s="114" t="s">
        <v>386</v>
      </c>
      <c r="G250" s="177" t="s">
        <v>1168</v>
      </c>
      <c r="H250" s="114" t="s">
        <v>403</v>
      </c>
      <c r="I250" s="177">
        <v>50</v>
      </c>
      <c r="J250" s="177" t="s">
        <v>1169</v>
      </c>
      <c r="K250" s="49" t="s">
        <v>486</v>
      </c>
      <c r="L250" s="177" t="s">
        <v>2</v>
      </c>
      <c r="M250" s="177" t="s">
        <v>391</v>
      </c>
      <c r="N250" s="177" t="s">
        <v>2</v>
      </c>
      <c r="O250" s="191">
        <v>1075008050</v>
      </c>
      <c r="P250" s="177" t="s">
        <v>2</v>
      </c>
      <c r="Q250" s="178" t="s">
        <v>1181</v>
      </c>
    </row>
    <row r="251" spans="1:17">
      <c r="A251" s="96">
        <v>246</v>
      </c>
      <c r="B251" s="177" t="s">
        <v>244</v>
      </c>
      <c r="C251" s="114" t="s">
        <v>264</v>
      </c>
      <c r="D251" s="177" t="s">
        <v>2</v>
      </c>
      <c r="E251" s="177" t="s">
        <v>2</v>
      </c>
      <c r="F251" s="114" t="s">
        <v>430</v>
      </c>
      <c r="G251" s="177" t="s">
        <v>1182</v>
      </c>
      <c r="H251" s="114" t="s">
        <v>399</v>
      </c>
      <c r="I251" s="177" t="s">
        <v>2</v>
      </c>
      <c r="J251" s="177" t="s">
        <v>433</v>
      </c>
      <c r="K251" s="49" t="s">
        <v>0</v>
      </c>
      <c r="L251" s="177" t="s">
        <v>2</v>
      </c>
      <c r="M251" s="177" t="s">
        <v>1183</v>
      </c>
      <c r="N251" s="177" t="s">
        <v>2</v>
      </c>
      <c r="O251" s="191">
        <v>10326060</v>
      </c>
      <c r="P251" s="177" t="s">
        <v>2</v>
      </c>
      <c r="Q251" s="178" t="s">
        <v>1184</v>
      </c>
    </row>
    <row r="252" spans="1:17">
      <c r="A252" s="96">
        <v>247</v>
      </c>
      <c r="B252" s="177" t="s">
        <v>246</v>
      </c>
      <c r="C252" s="114" t="s">
        <v>1185</v>
      </c>
      <c r="D252" s="177" t="s">
        <v>2</v>
      </c>
      <c r="E252" s="177" t="s">
        <v>2</v>
      </c>
      <c r="F252" s="114" t="s">
        <v>386</v>
      </c>
      <c r="G252" s="177" t="s">
        <v>1186</v>
      </c>
      <c r="H252" s="114" t="s">
        <v>403</v>
      </c>
      <c r="I252" s="177">
        <v>40</v>
      </c>
      <c r="J252" s="177" t="s">
        <v>1187</v>
      </c>
      <c r="K252" s="49" t="s">
        <v>486</v>
      </c>
      <c r="L252" s="177" t="s">
        <v>2</v>
      </c>
      <c r="M252" s="177" t="s">
        <v>391</v>
      </c>
      <c r="N252" s="177" t="s">
        <v>2</v>
      </c>
      <c r="O252" s="191" t="s">
        <v>1188</v>
      </c>
      <c r="P252" s="177" t="s">
        <v>2</v>
      </c>
      <c r="Q252" s="178" t="s">
        <v>1189</v>
      </c>
    </row>
    <row r="253" spans="1:17">
      <c r="A253" s="96">
        <v>248</v>
      </c>
      <c r="B253" s="177" t="s">
        <v>190</v>
      </c>
      <c r="C253" s="114" t="s">
        <v>1190</v>
      </c>
      <c r="D253" s="177" t="s">
        <v>2</v>
      </c>
      <c r="E253" s="177" t="s">
        <v>2</v>
      </c>
      <c r="F253" s="114" t="s">
        <v>430</v>
      </c>
      <c r="G253" s="177" t="s">
        <v>1020</v>
      </c>
      <c r="H253" s="114" t="s">
        <v>396</v>
      </c>
      <c r="I253" s="177" t="s">
        <v>2</v>
      </c>
      <c r="J253" s="177" t="s">
        <v>433</v>
      </c>
      <c r="K253" s="49" t="s">
        <v>0</v>
      </c>
      <c r="L253" s="177" t="s">
        <v>2</v>
      </c>
      <c r="M253" s="177" t="s">
        <v>1183</v>
      </c>
      <c r="N253" s="177" t="s">
        <v>2</v>
      </c>
      <c r="O253" s="191">
        <v>10326050</v>
      </c>
      <c r="P253" s="177" t="s">
        <v>2</v>
      </c>
      <c r="Q253" s="178" t="s">
        <v>1184</v>
      </c>
    </row>
    <row r="254" spans="1:17">
      <c r="A254" s="96">
        <v>249</v>
      </c>
      <c r="B254" s="177" t="s">
        <v>260</v>
      </c>
      <c r="C254" s="114" t="s">
        <v>1191</v>
      </c>
      <c r="D254" s="177" t="s">
        <v>2</v>
      </c>
      <c r="E254" s="177" t="s">
        <v>2</v>
      </c>
      <c r="F254" s="114" t="s">
        <v>386</v>
      </c>
      <c r="G254" s="177" t="s">
        <v>723</v>
      </c>
      <c r="H254" s="114" t="s">
        <v>396</v>
      </c>
      <c r="I254" s="177">
        <v>20</v>
      </c>
      <c r="J254" s="177" t="s">
        <v>389</v>
      </c>
      <c r="K254" s="49" t="s">
        <v>1192</v>
      </c>
      <c r="L254" s="177" t="s">
        <v>2</v>
      </c>
      <c r="M254" s="177" t="s">
        <v>1193</v>
      </c>
      <c r="N254" s="177" t="s">
        <v>1194</v>
      </c>
      <c r="O254" s="191">
        <v>1104305020</v>
      </c>
      <c r="P254" s="177" t="s">
        <v>2</v>
      </c>
      <c r="Q254" s="178" t="s">
        <v>1195</v>
      </c>
    </row>
    <row r="255" spans="1:17">
      <c r="A255" s="96">
        <v>250</v>
      </c>
      <c r="B255" s="177" t="s">
        <v>261</v>
      </c>
      <c r="C255" s="114" t="s">
        <v>1196</v>
      </c>
      <c r="D255" s="177" t="s">
        <v>2</v>
      </c>
      <c r="E255" s="177" t="s">
        <v>2</v>
      </c>
      <c r="F255" s="114" t="s">
        <v>386</v>
      </c>
      <c r="G255" s="177" t="s">
        <v>723</v>
      </c>
      <c r="H255" s="114" t="s">
        <v>396</v>
      </c>
      <c r="I255" s="177">
        <v>25</v>
      </c>
      <c r="J255" s="177" t="s">
        <v>389</v>
      </c>
      <c r="K255" s="49" t="s">
        <v>1192</v>
      </c>
      <c r="L255" s="177" t="s">
        <v>2</v>
      </c>
      <c r="M255" s="177" t="s">
        <v>1193</v>
      </c>
      <c r="N255" s="177" t="s">
        <v>1194</v>
      </c>
      <c r="O255" s="191">
        <v>1104305025</v>
      </c>
      <c r="P255" s="177" t="s">
        <v>2</v>
      </c>
      <c r="Q255" s="178" t="s">
        <v>1195</v>
      </c>
    </row>
    <row r="256" spans="1:17">
      <c r="A256" s="96">
        <v>251</v>
      </c>
      <c r="B256" s="177" t="s">
        <v>286</v>
      </c>
      <c r="C256" s="114" t="s">
        <v>285</v>
      </c>
      <c r="D256" s="177">
        <v>91985044</v>
      </c>
      <c r="E256" s="177" t="s">
        <v>2</v>
      </c>
      <c r="F256" s="114" t="s">
        <v>386</v>
      </c>
      <c r="G256" s="177" t="s">
        <v>594</v>
      </c>
      <c r="H256" s="114" t="s">
        <v>388</v>
      </c>
      <c r="I256" s="177">
        <v>30</v>
      </c>
      <c r="J256" s="177" t="s">
        <v>595</v>
      </c>
      <c r="K256" s="49" t="s">
        <v>1192</v>
      </c>
      <c r="L256" s="177" t="s">
        <v>2</v>
      </c>
      <c r="M256" s="177" t="s">
        <v>1192</v>
      </c>
      <c r="N256" s="177" t="s">
        <v>2</v>
      </c>
      <c r="O256" s="191" t="s">
        <v>1197</v>
      </c>
      <c r="P256" s="177" t="s">
        <v>2</v>
      </c>
      <c r="Q256" s="178" t="s">
        <v>1198</v>
      </c>
    </row>
    <row r="257" spans="1:18">
      <c r="A257" s="96">
        <v>252</v>
      </c>
      <c r="B257" s="177" t="s">
        <v>265</v>
      </c>
      <c r="C257" s="114" t="s">
        <v>273</v>
      </c>
      <c r="D257" s="177" t="s">
        <v>2</v>
      </c>
      <c r="E257" s="177" t="s">
        <v>2</v>
      </c>
      <c r="F257" s="114" t="s">
        <v>386</v>
      </c>
      <c r="G257" s="177" t="s">
        <v>1168</v>
      </c>
      <c r="H257" s="114" t="s">
        <v>399</v>
      </c>
      <c r="I257" s="177">
        <v>20</v>
      </c>
      <c r="J257" s="177" t="s">
        <v>1169</v>
      </c>
      <c r="K257" s="49" t="s">
        <v>486</v>
      </c>
      <c r="L257" s="177" t="s">
        <v>2</v>
      </c>
      <c r="M257" s="177" t="s">
        <v>391</v>
      </c>
      <c r="N257" s="177" t="s">
        <v>2</v>
      </c>
      <c r="O257" s="191" t="s">
        <v>1199</v>
      </c>
      <c r="P257" s="177" t="s">
        <v>2</v>
      </c>
      <c r="Q257" s="178" t="s">
        <v>1200</v>
      </c>
    </row>
    <row r="258" spans="1:18">
      <c r="A258" s="16">
        <v>253</v>
      </c>
      <c r="B258" s="15" t="s">
        <v>288</v>
      </c>
      <c r="C258" s="22" t="s">
        <v>287</v>
      </c>
      <c r="D258" s="15" t="s">
        <v>2</v>
      </c>
      <c r="E258" s="15" t="s">
        <v>2</v>
      </c>
      <c r="F258" s="22" t="s">
        <v>430</v>
      </c>
      <c r="G258" s="15" t="s">
        <v>1182</v>
      </c>
      <c r="H258" s="22" t="s">
        <v>1201</v>
      </c>
      <c r="I258" s="15" t="s">
        <v>2</v>
      </c>
      <c r="J258" s="15" t="s">
        <v>352</v>
      </c>
      <c r="K258" s="15" t="s">
        <v>2</v>
      </c>
      <c r="L258" s="15" t="s">
        <v>2</v>
      </c>
      <c r="M258" s="15" t="s">
        <v>1202</v>
      </c>
      <c r="N258" s="15" t="s">
        <v>2</v>
      </c>
      <c r="O258" s="186">
        <v>10305030</v>
      </c>
      <c r="P258" s="15" t="s">
        <v>2</v>
      </c>
      <c r="Q258" s="103" t="s">
        <v>1203</v>
      </c>
      <c r="R258" s="15" t="s">
        <v>2</v>
      </c>
    </row>
    <row r="259" spans="1:18">
      <c r="A259" s="16">
        <v>254</v>
      </c>
      <c r="B259" s="15" t="s">
        <v>284</v>
      </c>
      <c r="C259" s="22" t="s">
        <v>283</v>
      </c>
      <c r="D259" s="15" t="s">
        <v>2</v>
      </c>
      <c r="E259" s="15" t="s">
        <v>2</v>
      </c>
      <c r="F259" s="22" t="s">
        <v>386</v>
      </c>
      <c r="G259" s="15" t="s">
        <v>1204</v>
      </c>
      <c r="H259" s="22" t="s">
        <v>1201</v>
      </c>
      <c r="I259" s="15">
        <v>6</v>
      </c>
      <c r="J259" s="15" t="s">
        <v>1205</v>
      </c>
      <c r="K259" s="15">
        <v>10</v>
      </c>
      <c r="L259" s="15" t="s">
        <v>2</v>
      </c>
      <c r="M259" s="15" t="s">
        <v>391</v>
      </c>
      <c r="N259" s="15" t="s">
        <v>2</v>
      </c>
      <c r="O259" t="s">
        <v>1206</v>
      </c>
      <c r="P259" s="15" t="s">
        <v>2</v>
      </c>
      <c r="Q259" s="176" t="s">
        <v>1207</v>
      </c>
      <c r="R259" s="15" t="s">
        <v>2</v>
      </c>
    </row>
    <row r="260" spans="1:18">
      <c r="A260" s="96">
        <v>255</v>
      </c>
      <c r="B260" s="177" t="s">
        <v>269</v>
      </c>
      <c r="C260" s="114" t="s">
        <v>268</v>
      </c>
      <c r="D260" s="177" t="s">
        <v>2</v>
      </c>
      <c r="E260" s="177" t="s">
        <v>2</v>
      </c>
      <c r="F260" s="114" t="s">
        <v>386</v>
      </c>
      <c r="G260" s="177" t="s">
        <v>723</v>
      </c>
      <c r="H260" s="114" t="s">
        <v>399</v>
      </c>
      <c r="I260" s="177">
        <v>25</v>
      </c>
      <c r="J260" s="177" t="s">
        <v>389</v>
      </c>
      <c r="K260" s="49" t="s">
        <v>1192</v>
      </c>
      <c r="L260" s="177" t="s">
        <v>2</v>
      </c>
      <c r="M260" s="177" t="s">
        <v>1193</v>
      </c>
      <c r="N260" s="177" t="s">
        <v>1194</v>
      </c>
      <c r="O260" s="191">
        <v>1104306025</v>
      </c>
      <c r="P260" s="177" t="s">
        <v>2</v>
      </c>
      <c r="Q260" s="178" t="s">
        <v>1195</v>
      </c>
      <c r="R260" s="15" t="s">
        <v>2</v>
      </c>
    </row>
    <row r="261" spans="1:18">
      <c r="A261" s="96">
        <v>256</v>
      </c>
      <c r="B261" s="177" t="s">
        <v>267</v>
      </c>
      <c r="C261" s="114" t="s">
        <v>274</v>
      </c>
      <c r="D261" s="177" t="s">
        <v>2</v>
      </c>
      <c r="E261" s="177" t="s">
        <v>2</v>
      </c>
      <c r="F261" s="114" t="s">
        <v>454</v>
      </c>
      <c r="G261" s="177" t="s">
        <v>1173</v>
      </c>
      <c r="H261" s="114" t="s">
        <v>399</v>
      </c>
      <c r="I261" s="177" t="s">
        <v>2</v>
      </c>
      <c r="J261" s="177" t="s">
        <v>1174</v>
      </c>
      <c r="K261" s="49" t="s">
        <v>486</v>
      </c>
      <c r="L261" s="177" t="s">
        <v>2</v>
      </c>
      <c r="M261" s="177" t="s">
        <v>391</v>
      </c>
      <c r="N261" s="177" t="s">
        <v>2</v>
      </c>
      <c r="O261" s="191" t="s">
        <v>1208</v>
      </c>
      <c r="P261" s="177" t="s">
        <v>2</v>
      </c>
      <c r="Q261" s="178" t="s">
        <v>1209</v>
      </c>
    </row>
    <row r="262" spans="1:18">
      <c r="A262" s="96">
        <v>257</v>
      </c>
      <c r="B262" s="177" t="s">
        <v>277</v>
      </c>
      <c r="C262" s="114" t="s">
        <v>276</v>
      </c>
      <c r="D262" s="177" t="s">
        <v>2</v>
      </c>
      <c r="E262" s="177" t="s">
        <v>2</v>
      </c>
      <c r="F262" s="114" t="s">
        <v>430</v>
      </c>
      <c r="G262" s="177" t="s">
        <v>1210</v>
      </c>
      <c r="H262" s="114" t="s">
        <v>399</v>
      </c>
      <c r="I262" s="177" t="s">
        <v>2</v>
      </c>
      <c r="J262" s="177" t="s">
        <v>1211</v>
      </c>
      <c r="K262" s="49" t="s">
        <v>486</v>
      </c>
      <c r="L262" s="177" t="s">
        <v>2</v>
      </c>
      <c r="M262" s="177" t="s">
        <v>391</v>
      </c>
      <c r="N262" s="177" t="s">
        <v>2</v>
      </c>
      <c r="O262" s="191" t="s">
        <v>1212</v>
      </c>
      <c r="P262" s="177">
        <v>4.1000000000000003E-3</v>
      </c>
      <c r="Q262" s="178" t="s">
        <v>1213</v>
      </c>
      <c r="R262" s="15"/>
    </row>
    <row r="263" spans="1:18">
      <c r="A263" s="96">
        <v>258</v>
      </c>
      <c r="B263" s="177" t="s">
        <v>270</v>
      </c>
      <c r="C263" s="114" t="s">
        <v>275</v>
      </c>
      <c r="D263" s="177" t="s">
        <v>2</v>
      </c>
      <c r="E263" s="177" t="s">
        <v>2</v>
      </c>
      <c r="F263" s="114" t="s">
        <v>454</v>
      </c>
      <c r="G263" s="177" t="s">
        <v>567</v>
      </c>
      <c r="H263" s="114" t="s">
        <v>396</v>
      </c>
      <c r="I263" s="177" t="s">
        <v>2</v>
      </c>
      <c r="J263" s="177" t="s">
        <v>1129</v>
      </c>
      <c r="K263" s="49" t="s">
        <v>486</v>
      </c>
      <c r="L263" s="177" t="s">
        <v>2</v>
      </c>
      <c r="M263" s="177" t="s">
        <v>391</v>
      </c>
      <c r="N263" s="177" t="s">
        <v>2</v>
      </c>
      <c r="O263" s="191">
        <v>98585</v>
      </c>
      <c r="P263" s="177">
        <v>1E-3</v>
      </c>
      <c r="Q263" s="178" t="s">
        <v>1214</v>
      </c>
      <c r="R263" s="15"/>
    </row>
    <row r="264" spans="1:18">
      <c r="A264" s="96">
        <v>259</v>
      </c>
      <c r="B264" s="177" t="s">
        <v>280</v>
      </c>
      <c r="C264" s="114" t="s">
        <v>279</v>
      </c>
      <c r="D264" s="177" t="s">
        <v>2</v>
      </c>
      <c r="E264" s="177" t="s">
        <v>2</v>
      </c>
      <c r="F264" s="114" t="s">
        <v>386</v>
      </c>
      <c r="G264" s="177" t="s">
        <v>534</v>
      </c>
      <c r="H264" s="114" t="s">
        <v>403</v>
      </c>
      <c r="I264" s="177">
        <v>30</v>
      </c>
      <c r="J264" s="177" t="s">
        <v>535</v>
      </c>
      <c r="K264" s="49" t="s">
        <v>486</v>
      </c>
      <c r="L264" s="177" t="s">
        <v>2</v>
      </c>
      <c r="M264" s="177" t="s">
        <v>391</v>
      </c>
      <c r="N264" s="177" t="s">
        <v>2</v>
      </c>
      <c r="O264" s="191" t="s">
        <v>1215</v>
      </c>
      <c r="P264" s="177" t="s">
        <v>2</v>
      </c>
      <c r="Q264" s="178" t="s">
        <v>1216</v>
      </c>
    </row>
    <row r="265" spans="1:18">
      <c r="A265" s="96">
        <v>260</v>
      </c>
      <c r="B265" s="181" t="s">
        <v>83</v>
      </c>
      <c r="C265" s="114" t="s">
        <v>82</v>
      </c>
      <c r="D265" s="177" t="s">
        <v>2</v>
      </c>
      <c r="E265" s="177" t="s">
        <v>2</v>
      </c>
      <c r="F265" s="114" t="s">
        <v>700</v>
      </c>
      <c r="G265" s="177" t="s">
        <v>1217</v>
      </c>
      <c r="H265" s="114" t="s">
        <v>399</v>
      </c>
      <c r="I265" s="177">
        <v>12</v>
      </c>
      <c r="J265" s="180" t="s">
        <v>0</v>
      </c>
      <c r="L265" s="177" t="s">
        <v>2</v>
      </c>
      <c r="M265" s="177" t="s">
        <v>391</v>
      </c>
      <c r="N265" s="177" t="s">
        <v>701</v>
      </c>
      <c r="O265" s="191">
        <v>21612001010</v>
      </c>
      <c r="P265" s="177" t="s">
        <v>2</v>
      </c>
      <c r="Q265" s="178" t="s">
        <v>1218</v>
      </c>
    </row>
    <row r="266" spans="1:18">
      <c r="A266" s="96">
        <v>261</v>
      </c>
      <c r="B266" s="177" t="s">
        <v>272</v>
      </c>
      <c r="C266" s="114" t="s">
        <v>271</v>
      </c>
      <c r="D266" s="177" t="s">
        <v>2</v>
      </c>
      <c r="E266" s="177" t="s">
        <v>2</v>
      </c>
      <c r="F266" s="114" t="s">
        <v>1219</v>
      </c>
      <c r="G266" s="177" t="s">
        <v>1220</v>
      </c>
      <c r="H266" s="114" t="s">
        <v>2</v>
      </c>
      <c r="I266" s="177">
        <v>13</v>
      </c>
      <c r="J266" s="177" t="s">
        <v>1221</v>
      </c>
      <c r="K266" s="49" t="s">
        <v>2</v>
      </c>
      <c r="L266" s="177" t="s">
        <v>2</v>
      </c>
      <c r="M266" s="177" t="s">
        <v>391</v>
      </c>
      <c r="N266" s="177" t="s">
        <v>1222</v>
      </c>
      <c r="O266" s="188" t="s">
        <v>1223</v>
      </c>
      <c r="P266" s="177">
        <v>1.9E-2</v>
      </c>
      <c r="Q266" s="178" t="s">
        <v>1224</v>
      </c>
      <c r="R266" s="16" t="s">
        <v>2</v>
      </c>
    </row>
    <row r="267" spans="1:18">
      <c r="A267" s="16">
        <v>262</v>
      </c>
      <c r="B267" s="16" t="s">
        <v>282</v>
      </c>
      <c r="C267" s="114" t="s">
        <v>281</v>
      </c>
      <c r="F267" s="114" t="s">
        <v>454</v>
      </c>
      <c r="G267" s="177" t="s">
        <v>1173</v>
      </c>
      <c r="H267" s="114" t="s">
        <v>403</v>
      </c>
      <c r="I267" s="177" t="s">
        <v>2</v>
      </c>
      <c r="J267" s="177" t="s">
        <v>1174</v>
      </c>
      <c r="K267" s="55" t="s">
        <v>486</v>
      </c>
      <c r="L267" s="177" t="s">
        <v>2</v>
      </c>
      <c r="M267" s="177" t="s">
        <v>391</v>
      </c>
      <c r="N267" s="177" t="s">
        <v>2</v>
      </c>
      <c r="O267" s="187" t="s">
        <v>1175</v>
      </c>
      <c r="P267" s="177" t="s">
        <v>2</v>
      </c>
      <c r="Q267" s="178" t="s">
        <v>1176</v>
      </c>
    </row>
    <row r="268" spans="1:18">
      <c r="A268" s="16">
        <v>263</v>
      </c>
      <c r="B268" s="16" t="s">
        <v>1225</v>
      </c>
      <c r="C268" s="45" t="s">
        <v>263</v>
      </c>
      <c r="D268" s="45" t="s">
        <v>0</v>
      </c>
      <c r="E268" s="45" t="e">
        <f>SUMIF(#REF!,Normteile!C268,#REF!)</f>
        <v>#REF!</v>
      </c>
      <c r="F268" s="9" t="s">
        <v>454</v>
      </c>
      <c r="G268" s="16" t="s">
        <v>1226</v>
      </c>
      <c r="H268" s="9" t="s">
        <v>399</v>
      </c>
      <c r="J268" s="17" t="s">
        <v>1129</v>
      </c>
      <c r="K268" s="7" t="s">
        <v>129</v>
      </c>
      <c r="L268" s="74" t="str">
        <f>IF(F268="Schraube",INDEX(Dropdown!$Q$5:$V$33,MATCH(Normteile!H268,Dropdown!$P$5:$P$33,0),MATCH(Normteile!K268,Dropdown!$Q$4:$V$4,0)),"-")</f>
        <v>-</v>
      </c>
      <c r="M268" s="16" t="s">
        <v>391</v>
      </c>
      <c r="N268" s="16" t="s">
        <v>1144</v>
      </c>
      <c r="O268" s="187">
        <v>37006</v>
      </c>
      <c r="P268" s="9" t="s">
        <v>43</v>
      </c>
      <c r="Q268" s="193" t="s">
        <v>1227</v>
      </c>
    </row>
    <row r="269" spans="1:18">
      <c r="A269" s="16">
        <v>264</v>
      </c>
      <c r="B269" s="16" t="s">
        <v>1228</v>
      </c>
      <c r="C269" s="45" t="s">
        <v>262</v>
      </c>
      <c r="F269" s="9" t="s">
        <v>386</v>
      </c>
      <c r="H269" s="9" t="s">
        <v>403</v>
      </c>
      <c r="J269" s="17" t="s">
        <v>495</v>
      </c>
      <c r="K269" s="49" t="s">
        <v>390</v>
      </c>
      <c r="L269" s="7"/>
      <c r="M269" s="16" t="s">
        <v>1229</v>
      </c>
      <c r="N269" s="16" t="s">
        <v>1194</v>
      </c>
    </row>
    <row r="270" spans="1:18">
      <c r="A270" s="16">
        <v>265</v>
      </c>
      <c r="B270" s="16" t="s">
        <v>1230</v>
      </c>
      <c r="C270" s="45" t="s">
        <v>278</v>
      </c>
      <c r="F270" s="9" t="s">
        <v>454</v>
      </c>
      <c r="G270" s="16" t="s">
        <v>838</v>
      </c>
      <c r="H270" s="9" t="s">
        <v>825</v>
      </c>
      <c r="J270" s="17" t="s">
        <v>351</v>
      </c>
      <c r="K270" s="49" t="s">
        <v>1231</v>
      </c>
      <c r="L270" s="7"/>
      <c r="M270" s="16" t="s">
        <v>391</v>
      </c>
      <c r="N270" s="16" t="s">
        <v>1194</v>
      </c>
      <c r="Q270" s="195" t="s">
        <v>1232</v>
      </c>
      <c r="R270" s="193" t="s">
        <v>1233</v>
      </c>
    </row>
    <row r="271" spans="1:18">
      <c r="A271" s="16">
        <v>266</v>
      </c>
      <c r="B271" s="16" t="s">
        <v>1234</v>
      </c>
      <c r="C271" s="45" t="s">
        <v>1235</v>
      </c>
      <c r="D271" s="9" t="s">
        <v>1236</v>
      </c>
      <c r="F271" s="9" t="s">
        <v>672</v>
      </c>
      <c r="G271" s="16" t="s">
        <v>1237</v>
      </c>
      <c r="H271" s="9" t="s">
        <v>403</v>
      </c>
      <c r="L271" s="7"/>
      <c r="M271" s="16" t="s">
        <v>391</v>
      </c>
      <c r="N271" s="16" t="s">
        <v>175</v>
      </c>
      <c r="O271">
        <v>34367080230</v>
      </c>
      <c r="Q271" s="76" t="s">
        <v>1238</v>
      </c>
    </row>
    <row r="272" spans="1:18">
      <c r="A272" s="16">
        <v>267</v>
      </c>
      <c r="B272" s="16" t="s">
        <v>1239</v>
      </c>
      <c r="C272" s="9" t="s">
        <v>1240</v>
      </c>
      <c r="D272" s="9" t="s">
        <v>1236</v>
      </c>
      <c r="E272" s="45"/>
      <c r="F272" s="9" t="s">
        <v>984</v>
      </c>
      <c r="H272" s="9" t="s">
        <v>403</v>
      </c>
      <c r="I272" s="16">
        <v>16</v>
      </c>
      <c r="J272" s="17" t="s">
        <v>485</v>
      </c>
      <c r="K272" s="49" t="s">
        <v>486</v>
      </c>
      <c r="L272" s="7"/>
      <c r="M272" s="16" t="s">
        <v>391</v>
      </c>
      <c r="N272" s="16" t="s">
        <v>175</v>
      </c>
      <c r="O272" t="s">
        <v>1241</v>
      </c>
      <c r="P272" s="9" t="s">
        <v>43</v>
      </c>
      <c r="Q272" s="76" t="s">
        <v>1242</v>
      </c>
    </row>
    <row r="273" spans="1:17">
      <c r="A273" s="16">
        <v>268</v>
      </c>
      <c r="B273" s="16" t="s">
        <v>1243</v>
      </c>
      <c r="C273" s="45" t="s">
        <v>1244</v>
      </c>
      <c r="D273" s="9" t="s">
        <v>1236</v>
      </c>
      <c r="E273" s="45"/>
      <c r="F273" s="9" t="s">
        <v>454</v>
      </c>
      <c r="G273" s="16" t="s">
        <v>455</v>
      </c>
      <c r="H273" s="9" t="s">
        <v>403</v>
      </c>
      <c r="J273" s="56" t="s">
        <v>822</v>
      </c>
      <c r="L273" s="16" t="str">
        <f>IF(F273="Schraube",INDEX(Dropdown!$Q$5:$V$33,MATCH(Normteile!H273,Dropdown!$P$5:$P$33,0),MATCH(Normteile!K273,Dropdown!$Q$4:$V$4,0)),"-")</f>
        <v>-</v>
      </c>
      <c r="M273" s="16" t="s">
        <v>1192</v>
      </c>
      <c r="N273" s="16" t="s">
        <v>175</v>
      </c>
      <c r="O273" t="s">
        <v>1245</v>
      </c>
      <c r="P273" s="9" t="s">
        <v>43</v>
      </c>
      <c r="Q273" s="76" t="s">
        <v>1246</v>
      </c>
    </row>
    <row r="274" spans="1:17">
      <c r="A274" s="16">
        <v>269</v>
      </c>
      <c r="B274" s="16" t="s">
        <v>1247</v>
      </c>
      <c r="C274" s="9" t="s">
        <v>1248</v>
      </c>
      <c r="D274" s="9" t="s">
        <v>1236</v>
      </c>
      <c r="E274" s="45"/>
      <c r="F274" s="9" t="s">
        <v>454</v>
      </c>
      <c r="G274" s="16" t="s">
        <v>1249</v>
      </c>
      <c r="H274" s="9" t="s">
        <v>403</v>
      </c>
      <c r="J274" s="56" t="s">
        <v>822</v>
      </c>
      <c r="L274" s="16" t="str">
        <f>IF(F274="Schraube",INDEX(Dropdown!$Q$5:$V$33,MATCH(Normteile!H274,Dropdown!$P$5:$P$33,0),MATCH(Normteile!K274,Dropdown!$Q$4:$V$4,0)),"-")</f>
        <v>-</v>
      </c>
      <c r="M274" s="16" t="s">
        <v>1192</v>
      </c>
      <c r="N274" s="16" t="s">
        <v>1194</v>
      </c>
      <c r="O274"/>
      <c r="P274" s="9" t="s">
        <v>43</v>
      </c>
      <c r="Q274" s="76" t="s">
        <v>1250</v>
      </c>
    </row>
    <row r="275" spans="1:17">
      <c r="A275" s="16">
        <v>270</v>
      </c>
      <c r="B275" s="16" t="s">
        <v>1251</v>
      </c>
      <c r="C275" s="45" t="s">
        <v>1252</v>
      </c>
      <c r="D275" s="9" t="s">
        <v>1236</v>
      </c>
      <c r="F275" s="9" t="s">
        <v>672</v>
      </c>
      <c r="G275" s="16" t="s">
        <v>1237</v>
      </c>
      <c r="H275" s="9" t="s">
        <v>396</v>
      </c>
      <c r="L275" s="7"/>
      <c r="M275" s="16" t="s">
        <v>391</v>
      </c>
      <c r="N275" s="16" t="s">
        <v>175</v>
      </c>
      <c r="O275">
        <v>34367050230</v>
      </c>
      <c r="Q275" s="76" t="s">
        <v>1253</v>
      </c>
    </row>
    <row r="276" spans="1:17">
      <c r="A276" s="16">
        <v>271</v>
      </c>
      <c r="B276" s="177" t="s">
        <v>1254</v>
      </c>
      <c r="C276" s="114" t="s">
        <v>1255</v>
      </c>
      <c r="D276" s="9" t="s">
        <v>1236</v>
      </c>
      <c r="E276" s="177" t="s">
        <v>2</v>
      </c>
      <c r="F276" s="114" t="s">
        <v>386</v>
      </c>
      <c r="G276" s="177" t="s">
        <v>723</v>
      </c>
      <c r="H276" s="114" t="s">
        <v>399</v>
      </c>
      <c r="I276" s="177">
        <v>40</v>
      </c>
      <c r="J276" s="177" t="s">
        <v>389</v>
      </c>
      <c r="K276" s="49" t="s">
        <v>1192</v>
      </c>
      <c r="L276" s="177" t="s">
        <v>2</v>
      </c>
      <c r="M276" s="177" t="s">
        <v>1193</v>
      </c>
      <c r="N276" s="177" t="s">
        <v>1194</v>
      </c>
      <c r="O276" s="191">
        <v>1104306040</v>
      </c>
      <c r="P276" s="177" t="s">
        <v>2</v>
      </c>
      <c r="Q276" s="178" t="s">
        <v>1256</v>
      </c>
    </row>
    <row r="277" spans="1:17">
      <c r="A277" s="16">
        <v>272</v>
      </c>
      <c r="B277" s="16" t="s">
        <v>1257</v>
      </c>
      <c r="C277" s="45" t="s">
        <v>1258</v>
      </c>
      <c r="D277" s="9" t="s">
        <v>1236</v>
      </c>
      <c r="F277" s="9" t="s">
        <v>672</v>
      </c>
      <c r="G277" s="16" t="s">
        <v>1259</v>
      </c>
      <c r="H277" s="9" t="s">
        <v>396</v>
      </c>
      <c r="L277" s="7"/>
      <c r="M277" s="16" t="s">
        <v>391</v>
      </c>
      <c r="N277" s="16" t="s">
        <v>175</v>
      </c>
      <c r="O277">
        <v>23307050230</v>
      </c>
      <c r="Q277" s="76" t="s">
        <v>1260</v>
      </c>
    </row>
    <row r="278" spans="1:17">
      <c r="A278" s="16">
        <v>273</v>
      </c>
      <c r="L278" s="7"/>
    </row>
    <row r="279" spans="1:17">
      <c r="A279" s="16">
        <v>274</v>
      </c>
      <c r="L279" s="7"/>
    </row>
    <row r="280" spans="1:17">
      <c r="A280" s="16">
        <v>275</v>
      </c>
      <c r="L280" s="7"/>
    </row>
    <row r="281" spans="1:17">
      <c r="A281" s="16">
        <v>276</v>
      </c>
      <c r="L281" s="7"/>
    </row>
    <row r="282" spans="1:17">
      <c r="A282" s="16">
        <v>277</v>
      </c>
      <c r="L282" s="7"/>
    </row>
    <row r="283" spans="1:17">
      <c r="A283" s="16">
        <v>278</v>
      </c>
      <c r="L283" s="7"/>
    </row>
    <row r="284" spans="1:17">
      <c r="A284" s="16">
        <v>279</v>
      </c>
      <c r="L284" s="7"/>
    </row>
    <row r="285" spans="1:17">
      <c r="A285" s="16">
        <v>280</v>
      </c>
      <c r="L285" s="7"/>
    </row>
    <row r="286" spans="1:17">
      <c r="A286" s="16">
        <v>281</v>
      </c>
      <c r="L286" s="7"/>
    </row>
    <row r="287" spans="1:17">
      <c r="A287" s="16">
        <v>282</v>
      </c>
      <c r="L287" s="7"/>
    </row>
    <row r="288" spans="1:17">
      <c r="A288" s="16">
        <v>283</v>
      </c>
      <c r="L288" s="7"/>
    </row>
  </sheetData>
  <autoFilter ref="A5:R288" xr:uid="{F3C867EE-EFC6-47C2-A5CB-79FA4F40CE33}"/>
  <mergeCells count="17">
    <mergeCell ref="O2:O4"/>
    <mergeCell ref="M2:M4"/>
    <mergeCell ref="K2:K4"/>
    <mergeCell ref="Q2:Q4"/>
    <mergeCell ref="D2:D4"/>
    <mergeCell ref="A1:R1"/>
    <mergeCell ref="A2:A4"/>
    <mergeCell ref="E2:E4"/>
    <mergeCell ref="B2:B4"/>
    <mergeCell ref="C2:C4"/>
    <mergeCell ref="F2:F4"/>
    <mergeCell ref="G2:G4"/>
    <mergeCell ref="H2:H4"/>
    <mergeCell ref="I2:I4"/>
    <mergeCell ref="J2:J4"/>
    <mergeCell ref="N2:N4"/>
    <mergeCell ref="R2:R4"/>
  </mergeCells>
  <phoneticPr fontId="17" type="noConversion"/>
  <hyperlinks>
    <hyperlink ref="Q9" r:id="rId1" xr:uid="{1E7F5508-5B1A-4EBA-A1F8-94AE9053C831}"/>
    <hyperlink ref="Q10" r:id="rId2" xr:uid="{4CEF87B0-0222-4CF5-A617-6F25DE051E5F}"/>
    <hyperlink ref="Q116" r:id="rId3" xr:uid="{77CEEE44-00CE-4EEF-A1AF-2E2918BBFADA}"/>
    <hyperlink ref="Q18" r:id="rId4" xr:uid="{EC18107D-041A-49BA-B2DB-68D2C15CCD6E}"/>
    <hyperlink ref="Q147" r:id="rId5" xr:uid="{E8A9DF1C-9905-4756-A68E-EE767B795C52}"/>
    <hyperlink ref="Q22" r:id="rId6" xr:uid="{9722EAF1-075B-4679-8549-10500471BDB9}"/>
    <hyperlink ref="Q33" r:id="rId7" xr:uid="{A2AB4D2A-6DE5-4F96-9FA3-933DE2ACD220}"/>
    <hyperlink ref="Q160" r:id="rId8" xr:uid="{7353037B-5217-44E4-9271-239823C08E81}"/>
    <hyperlink ref="Q82" r:id="rId9" xr:uid="{A6B030FE-D510-4AEE-ACD4-7DD5D1710C7E}"/>
    <hyperlink ref="Q176" r:id="rId10" xr:uid="{5A34F5F9-0687-44B3-9A1A-952616D42D0B}"/>
    <hyperlink ref="Q177" r:id="rId11" location="d1%3Dc(16)%3Bd2%3Du(edaeb7f5-028e-4605-baf4-f89962bb5a74)%3Bl1%3Dc(25)" display="https://www.ganternorm.com/de/produkte/3.2-Befestigen-Positionieren-Nivellieren-mit-Schraub-Klemm-und-Auflageelementen/Augenschrauben-Passschrauben-Druckschrauben/ISO-7379-Passschrauben#d1%3Dc(16)%3Bd2%3Du(edaeb7f5-028e-4605-baf4-f89962bb5a74)%3Bl1%3Dc(25)" xr:uid="{BC7B4FC8-D08F-4BDA-A951-EE84577B2436}"/>
    <hyperlink ref="Q178" r:id="rId12" location="more-show-details" xr:uid="{1514CD18-8A91-455B-8EFE-F549E73F62C3}"/>
    <hyperlink ref="Q179" r:id="rId13" xr:uid="{BE04A86D-C9CA-4B14-AC98-1873E67F7E37}"/>
    <hyperlink ref="Q180" r:id="rId14" xr:uid="{F2EBE62A-72F9-40C3-9114-CA390BE51C45}"/>
    <hyperlink ref="Q183" r:id="rId15" xr:uid="{1BE4DF8D-3A9F-42C4-9EDC-6325584F6D9E}"/>
    <hyperlink ref="Q184" r:id="rId16" xr:uid="{C7C88A66-5F88-44B3-8745-E4B61FB05E1C}"/>
    <hyperlink ref="Q186" r:id="rId17" xr:uid="{6C949D60-0D59-4F48-A7C6-BA7DDF1E6A0E}"/>
    <hyperlink ref="Q191" r:id="rId18" display="https://eshop.boellhoff.de/Gewindegenerierung/RIVKLE-Blindnietmuttern/RIVKLE-Standard/RIVKLE-Standard-Blindnietmuttern-/-5.html?listtype=search&amp;searchparam=blindnietmutter" xr:uid="{EB4CCD6E-8B60-4C7B-AC0B-ED484B98DB09}"/>
    <hyperlink ref="Q60" r:id="rId19" xr:uid="{85E85401-5C7A-488F-9899-450096752718}"/>
    <hyperlink ref="Q195" r:id="rId20" display="https://eshop.boellhoff.de/Gewindeverstaerkung/HELICOIL-Gewindeeinsaetze/HELICOIL-Plus-Free-Running/HELICOIL-Plus-Free-Running-Gewindeeinsatz-/.html?listtype=search&amp;searchparam=helicoil" xr:uid="{1FD67AB5-27B0-4F46-B86C-03AA7D0DD732}"/>
    <hyperlink ref="Q196" r:id="rId21" location="more-show-details" display="https://eshop.boellhoff.de/Scheiben/Unterlegscheiben/Karosseriescheiben/Karosseriescheiben.html?listtype=search&amp;searchparam=Karosseriescheiben - more-show-details" xr:uid="{4DC446F6-52C4-481A-9354-ADB5A6D3892E}"/>
    <hyperlink ref="Q197" r:id="rId22" location="more-show-details" display="https://eshop.boellhoff.de/Scheiben/Unterlegscheiben/Karosseriescheiben/Karosseriescheiben.html?listtype=search&amp;searchparam=Karosseriescheiben - more-show-details" xr:uid="{BC90A5E1-FB7D-4CEB-86CE-A25CD95E8F03}"/>
    <hyperlink ref="Q198" r:id="rId23" location="more-show-details" display="https://eshop.boellhoff.de/Scheiben/Unterlegscheiben/Karosseriescheiben/Karosseriescheiben.html?listtype=search&amp;searchparam=Karosseriescheiben - more-show-details" xr:uid="{40579C91-3709-4EDD-BDDC-4CB5DC9BE536}"/>
    <hyperlink ref="Q200" r:id="rId24" display="https://eshop.wuerth.de/Schraube-abgeflachter-Halbrundkopf-und-Bund-mit-Innensechsrund-DIN-34805-2-TX-Antrieb-Edelstahl-A2-070-SHR-DIN34805-2-A2-070-TX45-M8X60/0098040860.sku/de/DE/EUR/?CampaignName=SR007" xr:uid="{69EE024F-2480-49F7-B343-EEC8408A4F39}"/>
    <hyperlink ref="Q201" r:id="rId25" display="https://eshop.boellhoff.de/Schrauben/Schrauben-mit-Aussenkraftangriff/Sechskantschrauben/Sechskantschrauben-/.html?listtype=search&amp;searchparam=DIN933" xr:uid="{7C95159C-96AF-4507-8933-742522443493}"/>
    <hyperlink ref="Q204" r:id="rId26" xr:uid="{66460B63-2B1D-4C14-9214-FB9546506C92}"/>
    <hyperlink ref="Q206" r:id="rId27" xr:uid="{4F0D5C2C-EF1D-4CE7-9117-99AC8799BEE0}"/>
    <hyperlink ref="Q207" r:id="rId28" location="more-show-details" display="https://eshop.boellhoff.de/Schrauben/Schrauben-mit-Sicherungsfunktion/Sicherungsschrauben/RIPP-LOCK-Sicherungsschrauben.html - more-show-details" xr:uid="{58CE3503-E250-438E-B485-F2F02E316EBC}"/>
    <hyperlink ref="Q208" r:id="rId29" xr:uid="{BF356595-E57A-400E-B744-E368DA8B0E11}"/>
    <hyperlink ref="Q209" r:id="rId30" xr:uid="{4FD7FF58-9ADC-4A4A-98C7-0B9D4D502C63}"/>
    <hyperlink ref="Q210" r:id="rId31" location="more-show-details" xr:uid="{DA65CF9C-B526-4F86-9474-69C1993C3E4F}"/>
    <hyperlink ref="Q211" r:id="rId32" display="https://eshop.boellhoff.de/Schrauben/Schrauben-mit-Aussenkraftangriff/Sechskantschrauben/Sechskantschrauben-/-4.html" xr:uid="{39D03049-A8DE-461D-9672-708C28FC7A49}"/>
    <hyperlink ref="Q212" r:id="rId33" display="https://eshop.boellhoff.de/Schrauben/Schrauben-mit-Aussenkraftangriff/Sechskantschrauben/Sechskantschrauben-/-4.html" xr:uid="{EAF42EA8-DE11-4E49-9F86-AE1942F927C8}"/>
    <hyperlink ref="Q216" r:id="rId34" xr:uid="{6F03C995-B0FD-42DC-97B4-04DE3EEA163E}"/>
    <hyperlink ref="Q217" r:id="rId35" display="https://eshop.boellhoff.de/Niettechnik/RIVQUICK-Blindniete/Standardblindniete/RIVQUICK-Standardblindniete-3-9-5-00-6-00-500.html?uid=a71b1ef0d7ebff3e5c6758e2f83e5029&amp;site=1&amp;userInput=22132130090&amp;ignoreForCache%5B%5D=userInput&amp;queryFromSuggest=true&amp;ignoreForCache%5B%5D=queryFromSuggest&amp;anid=1_625296763" xr:uid="{ED503F3B-410A-4448-BE75-F806F234C802}"/>
    <hyperlink ref="Q76" r:id="rId36" xr:uid="{222A2F90-A4DA-472F-91EA-EED79BEB572D}"/>
    <hyperlink ref="Q223" r:id="rId37" xr:uid="{A0AAEE5C-4521-4CB0-A8CB-ED2BDFBBAF29}"/>
    <hyperlink ref="Q224" r:id="rId38" display="https://eshop.wuerth.de/Sperrzahnschraube-Sechskantkopf-mit-Flansch-W-0274-Stahl-88-verzinkt-blau-passiviert-A2K-SHR-6KT-FLSH-UKV-88-SW15-A2K-M10X45/027401045.sku/de/DE/EUR/?CampaignName=SR007" xr:uid="{13AAE969-2E52-4907-8229-34C8A6600D2F}"/>
    <hyperlink ref="Q228" r:id="rId39" xr:uid="{4207E5F6-8367-42B9-884E-B91D46650D8B}"/>
    <hyperlink ref="Q240" r:id="rId40" display="https://eshop.boellhoff.de/Scheiben/Unterlegscheiben/Scheiben/Scheiben-fuer-Schrauben-mit-schweren-Spannhuelsen-8-4-500.html?uid=a71b1ef0d7ebff3e5c6758e2f83e5029&amp;site=1&amp;userInput=7349VZ8%2C4&amp;ignoreForCache[]=userInput&amp;queryFromSuggest=true&amp;ignoreForCache[]=queryFromSuggest" xr:uid="{BBF7D970-3683-4CEB-8C2F-138E560B0235}"/>
    <hyperlink ref="Q241" r:id="rId41" xr:uid="{D277085E-EB84-4FC4-87A6-A7C3234E700F}"/>
    <hyperlink ref="Q242" r:id="rId42" xr:uid="{698BC3F6-266D-4AAA-AD10-281F9EC794AA}"/>
    <hyperlink ref="Q243" r:id="rId43" xr:uid="{F77696C3-B277-4E83-B66B-030E669A6AB9}"/>
    <hyperlink ref="Q244" r:id="rId44" xr:uid="{5D2725ED-91FC-401A-A658-B29A781ECCF3}"/>
    <hyperlink ref="Q245" r:id="rId45" xr:uid="{67A77DF4-532E-499B-81F9-48FC8F701652}"/>
    <hyperlink ref="Q13" r:id="rId46" location="d1%3Dc(8)%3Bd2%3Du(0c49c7b3-a2d5-4127-b6ac-792d414b1606)%3Bl1%3Dc(30)%3BWerkstoff%3Du(4ffaa763-f739-4917-9edb-5c7ca96d4057" display="https://www.ganternorm.com/de/produkte/3.2-Befestigen-Positionieren-Nivellieren-mit-Schraub-Klemm-und-Auflageelementen/Augenschrauben-Passschrauben-Druckschrauben/ISO-7379-Edelstahl-Passschrauben#d1%3Dc(8)%3Bd2%3Du(0c49c7b3-a2d5-4127-b6ac-792d414b1606)%3Bl1%3Dc(30)%3BWerkstoff%3Du(4ffaa763-f739-4917-9edb-5c7ca96d4057)" xr:uid="{1A42499E-BA43-48D6-8F9C-E1A43B0DFEF3}"/>
    <hyperlink ref="Q218" r:id="rId47" xr:uid="{A6D20964-24ED-4920-AE57-C2188EFF86C8}"/>
    <hyperlink ref="Q220" r:id="rId48" xr:uid="{07689F02-CEED-44EA-B3BC-F01B861C1201}"/>
    <hyperlink ref="Q247" r:id="rId49" xr:uid="{9C55AC3D-7FCD-4716-82AD-272E6570E13A}"/>
    <hyperlink ref="Q248" r:id="rId50" xr:uid="{345F930C-B488-44DF-9CF2-DA670DBB92D1}"/>
    <hyperlink ref="Q249" r:id="rId51" xr:uid="{D7DE03EA-614D-443E-B196-73ED767EC446}"/>
    <hyperlink ref="Q250" r:id="rId52" xr:uid="{7F5D54E8-A78B-4036-A201-96B4F569911A}"/>
    <hyperlink ref="Q251" r:id="rId53" xr:uid="{B5A5EC41-88E0-458B-B2C1-947DEBA1D959}"/>
    <hyperlink ref="Q252" r:id="rId54" xr:uid="{237BDF02-2502-4C88-ABED-27886202F6B6}"/>
    <hyperlink ref="Q253" r:id="rId55" xr:uid="{43B1501F-8034-40AD-9830-B35425535011}"/>
    <hyperlink ref="Q254" r:id="rId56" xr:uid="{3C702298-AFF7-4DF1-B85F-ABA084D5578B}"/>
    <hyperlink ref="Q255" r:id="rId57" xr:uid="{23BDAB04-C605-432F-8062-7ECF2F6CB776}"/>
    <hyperlink ref="Q256" r:id="rId58" xr:uid="{BE8D172C-C353-4531-88D5-F1C500820576}"/>
    <hyperlink ref="Q257" r:id="rId59" xr:uid="{A8C829E7-86E0-4F32-93E4-3178D6FD36C0}"/>
    <hyperlink ref="Q260" r:id="rId60" xr:uid="{6A0E6E4A-2B5E-4EC3-A44C-3829D8A88528}"/>
    <hyperlink ref="Q261" r:id="rId61" xr:uid="{60D71388-17C8-4C1A-AFFC-526279F29970}"/>
    <hyperlink ref="Q262" r:id="rId62" xr:uid="{8B811205-66D0-41F6-8C5E-741FFC8A089C}"/>
    <hyperlink ref="Q263" r:id="rId63" xr:uid="{10BCD46D-3A75-49FA-88BB-05592D7B9E80}"/>
    <hyperlink ref="Q264" r:id="rId64" xr:uid="{CCBCE8D4-BFDE-42F9-B251-CEDF713D7385}"/>
    <hyperlink ref="Q265" r:id="rId65" xr:uid="{8CE88CD6-83E7-4AD5-85E7-3393F7B83E81}"/>
    <hyperlink ref="Q266" r:id="rId66" xr:uid="{38195C75-AC05-497A-89BD-8BE3838CB408}"/>
    <hyperlink ref="Q83" r:id="rId67" xr:uid="{A1DA6471-03E1-4040-9186-C36A518521EA}"/>
    <hyperlink ref="Q111" r:id="rId68" xr:uid="{990793C9-92AF-44E9-9695-8F52CD063995}"/>
    <hyperlink ref="Q8" r:id="rId69" xr:uid="{E1631671-4861-4C31-8BD6-2F81609874F9}"/>
    <hyperlink ref="Q258" r:id="rId70" xr:uid="{253874BE-72E2-47F9-BA81-1BFD69FE99ED}"/>
    <hyperlink ref="Q259" r:id="rId71" xr:uid="{20501E24-015B-415D-96C8-EF1762A27D2D}"/>
    <hyperlink ref="Q267" r:id="rId72" xr:uid="{6946E12C-1AD6-4F00-B278-264473B15B99}"/>
    <hyperlink ref="Q129" r:id="rId73" xr:uid="{2C0935F1-76B7-410D-A2D4-38B175AA3E69}"/>
    <hyperlink ref="Q268" r:id="rId74" xr:uid="{090CF65C-7D4B-4BEB-AA3A-9B575B3FF566}"/>
    <hyperlink ref="R270" r:id="rId75" xr:uid="{E6C34937-B34A-4AEF-855F-5B0BFAB28322}"/>
    <hyperlink ref="Q271" r:id="rId76" xr:uid="{C84A505B-5165-4729-A729-B686BDD1B5C1}"/>
    <hyperlink ref="Q272" r:id="rId77" xr:uid="{4C16D004-DE7C-428D-8641-05E822F0BB17}"/>
    <hyperlink ref="Q273" r:id="rId78" xr:uid="{1CA46D9E-D446-42E2-9FC2-E7F4FEA947FF}"/>
    <hyperlink ref="Q274" r:id="rId79" xr:uid="{8BDD54BE-5B0D-4902-AD2D-7272B81A40D6}"/>
    <hyperlink ref="Q275" r:id="rId80" xr:uid="{94614F4A-D179-43A6-9979-91A5D942B5E8}"/>
    <hyperlink ref="Q276" r:id="rId81" xr:uid="{D5F390FC-7D09-4C81-A201-295B56EC3C54}"/>
    <hyperlink ref="Q277" r:id="rId82" xr:uid="{6988A37A-C7C4-452A-B27C-EABE0F91F2F3}"/>
    <hyperlink ref="Q270" r:id="rId83" display="https://www.frantos.com/de/muttern/selbstsichernde-muttern/din-6926-en-1663-sechskantmutter-mit-flansch/matrix/722-1-stahl-8-verzinkt?product=157884" xr:uid="{54C1555A-5FA7-45F4-976E-B8781BAB5B70}"/>
  </hyperlinks>
  <pageMargins left="0.7" right="0.7" top="0.78740157499999996" bottom="0.78740157499999996" header="0.3" footer="0.3"/>
  <pageSetup paperSize="9" scale="10" orientation="landscape" r:id="rId8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V51"/>
  <sheetViews>
    <sheetView workbookViewId="0">
      <selection activeCell="B13" sqref="B13"/>
    </sheetView>
  </sheetViews>
  <sheetFormatPr baseColWidth="10" defaultColWidth="22.5546875" defaultRowHeight="14.4"/>
  <cols>
    <col min="2" max="2" width="33.44140625" customWidth="1"/>
    <col min="3" max="3" width="9.5546875" customWidth="1"/>
    <col min="4" max="4" width="93.44140625" customWidth="1"/>
    <col min="5" max="5" width="10.44140625" customWidth="1"/>
    <col min="6" max="6" width="83.44140625" customWidth="1"/>
    <col min="7" max="7" width="10.44140625" customWidth="1"/>
    <col min="8" max="8" width="40.5546875" customWidth="1"/>
    <col min="9" max="9" width="8.5546875" customWidth="1"/>
    <col min="10" max="10" width="7.5546875" customWidth="1"/>
    <col min="11" max="11" width="111" bestFit="1" customWidth="1"/>
  </cols>
  <sheetData>
    <row r="1" spans="2:22" ht="15.75" customHeight="1" thickTop="1">
      <c r="L1" s="247" t="s">
        <v>1261</v>
      </c>
      <c r="M1" s="247"/>
      <c r="O1" s="121"/>
      <c r="P1" s="115"/>
      <c r="Q1" s="248" t="s">
        <v>1262</v>
      </c>
      <c r="R1" s="249"/>
      <c r="S1" s="249"/>
      <c r="T1" s="249"/>
      <c r="U1" s="249"/>
      <c r="V1" s="250"/>
    </row>
    <row r="2" spans="2:22">
      <c r="B2" s="34" t="s">
        <v>84</v>
      </c>
      <c r="D2" s="120" t="s">
        <v>75</v>
      </c>
      <c r="F2" s="120" t="s">
        <v>76</v>
      </c>
      <c r="H2" s="120" t="s">
        <v>74</v>
      </c>
      <c r="K2" s="10" t="s">
        <v>1263</v>
      </c>
      <c r="L2" s="122" t="s">
        <v>256</v>
      </c>
      <c r="M2" s="122" t="s">
        <v>359</v>
      </c>
      <c r="P2" s="116"/>
      <c r="Q2" s="251"/>
      <c r="R2" s="252"/>
      <c r="S2" s="252"/>
      <c r="T2" s="252"/>
      <c r="U2" s="252"/>
      <c r="V2" s="253"/>
    </row>
    <row r="3" spans="2:22" ht="15" thickBot="1">
      <c r="B3" s="33" t="s">
        <v>110</v>
      </c>
      <c r="D3" t="s">
        <v>114</v>
      </c>
      <c r="F3" t="s">
        <v>101</v>
      </c>
      <c r="H3" t="s">
        <v>108</v>
      </c>
      <c r="K3" s="10" t="s">
        <v>1264</v>
      </c>
      <c r="L3" t="s">
        <v>0</v>
      </c>
      <c r="M3" t="s">
        <v>0</v>
      </c>
      <c r="P3" s="63" t="s">
        <v>1265</v>
      </c>
      <c r="Q3" s="117" t="s">
        <v>1266</v>
      </c>
      <c r="R3" s="118"/>
      <c r="S3" s="118"/>
      <c r="T3" s="118"/>
      <c r="U3" s="118"/>
      <c r="V3" s="119"/>
    </row>
    <row r="4" spans="2:22" ht="15.6" thickTop="1" thickBot="1">
      <c r="B4" t="s">
        <v>1267</v>
      </c>
      <c r="D4" t="s">
        <v>1268</v>
      </c>
      <c r="F4" t="s">
        <v>86</v>
      </c>
      <c r="H4" t="s">
        <v>105</v>
      </c>
      <c r="K4" s="10" t="s">
        <v>1269</v>
      </c>
      <c r="L4" t="s">
        <v>120</v>
      </c>
      <c r="M4">
        <v>0.1</v>
      </c>
      <c r="P4" s="64" t="s">
        <v>380</v>
      </c>
      <c r="Q4" s="69" t="s">
        <v>1270</v>
      </c>
      <c r="R4" s="70" t="s">
        <v>1271</v>
      </c>
      <c r="S4" s="70" t="s">
        <v>1272</v>
      </c>
      <c r="T4" s="70" t="s">
        <v>486</v>
      </c>
      <c r="U4" s="70" t="s">
        <v>390</v>
      </c>
      <c r="V4" s="71" t="s">
        <v>960</v>
      </c>
    </row>
    <row r="5" spans="2:22" ht="15" thickBot="1">
      <c r="B5" t="s">
        <v>337</v>
      </c>
      <c r="D5" t="s">
        <v>257</v>
      </c>
      <c r="F5" t="s">
        <v>85</v>
      </c>
      <c r="H5" t="s">
        <v>95</v>
      </c>
      <c r="K5" s="10" t="s">
        <v>1273</v>
      </c>
      <c r="L5" t="s">
        <v>90</v>
      </c>
      <c r="M5">
        <v>0.02</v>
      </c>
      <c r="P5" s="64" t="s">
        <v>1274</v>
      </c>
      <c r="Q5" s="62">
        <v>0.13</v>
      </c>
      <c r="R5" s="62">
        <v>0.16</v>
      </c>
      <c r="S5" s="62">
        <v>0.26</v>
      </c>
      <c r="T5" s="62">
        <v>0.35</v>
      </c>
      <c r="U5" s="62">
        <v>0.49</v>
      </c>
      <c r="V5" s="65">
        <v>0.59</v>
      </c>
    </row>
    <row r="6" spans="2:22" ht="15" thickBot="1">
      <c r="B6" t="s">
        <v>99</v>
      </c>
      <c r="D6" t="s">
        <v>1275</v>
      </c>
      <c r="F6" t="s">
        <v>0</v>
      </c>
      <c r="H6" t="s">
        <v>98</v>
      </c>
      <c r="K6" s="10" t="s">
        <v>1276</v>
      </c>
      <c r="L6" t="s">
        <v>104</v>
      </c>
      <c r="M6">
        <v>0.1</v>
      </c>
      <c r="P6" s="64" t="s">
        <v>1277</v>
      </c>
      <c r="Q6" s="62">
        <v>0.27</v>
      </c>
      <c r="R6" s="62">
        <v>0.34</v>
      </c>
      <c r="S6" s="62">
        <v>0.54</v>
      </c>
      <c r="T6" s="62">
        <v>0.72</v>
      </c>
      <c r="U6" s="62">
        <v>1.01</v>
      </c>
      <c r="V6" s="65">
        <v>1.21</v>
      </c>
    </row>
    <row r="7" spans="2:22" ht="15" thickBot="1">
      <c r="B7" t="s">
        <v>84</v>
      </c>
      <c r="D7" t="s">
        <v>109</v>
      </c>
      <c r="F7" t="s">
        <v>1278</v>
      </c>
      <c r="H7" t="s">
        <v>92</v>
      </c>
      <c r="K7" s="10"/>
      <c r="L7" t="s">
        <v>1279</v>
      </c>
      <c r="M7">
        <v>0.1</v>
      </c>
      <c r="P7" s="64" t="s">
        <v>1201</v>
      </c>
      <c r="Q7" s="62">
        <v>0.48</v>
      </c>
      <c r="R7" s="62">
        <v>0.6</v>
      </c>
      <c r="S7" s="62">
        <v>0.96</v>
      </c>
      <c r="T7" s="62">
        <v>1.28</v>
      </c>
      <c r="U7" s="62">
        <v>1.8</v>
      </c>
      <c r="V7" s="65">
        <v>2.16</v>
      </c>
    </row>
    <row r="8" spans="2:22" ht="15" thickBot="1">
      <c r="B8" s="2" t="s">
        <v>168</v>
      </c>
      <c r="D8" t="s">
        <v>1280</v>
      </c>
      <c r="F8" t="s">
        <v>1281</v>
      </c>
      <c r="H8" t="s">
        <v>94</v>
      </c>
      <c r="K8" s="10" t="s">
        <v>1282</v>
      </c>
      <c r="L8" t="s">
        <v>113</v>
      </c>
      <c r="M8">
        <v>0.3</v>
      </c>
      <c r="P8" s="64" t="s">
        <v>388</v>
      </c>
      <c r="Q8" s="62">
        <v>1.1200000000000001</v>
      </c>
      <c r="R8" s="62">
        <v>1.39</v>
      </c>
      <c r="S8" s="62">
        <v>2.23</v>
      </c>
      <c r="T8" s="62">
        <v>2.97</v>
      </c>
      <c r="U8" s="62">
        <v>4.18</v>
      </c>
      <c r="V8" s="65">
        <v>5.0199999999999996</v>
      </c>
    </row>
    <row r="9" spans="2:22" ht="15" thickBot="1">
      <c r="B9" t="s">
        <v>297</v>
      </c>
      <c r="D9" t="s">
        <v>1283</v>
      </c>
      <c r="F9" t="s">
        <v>1284</v>
      </c>
      <c r="H9" s="11" t="s">
        <v>298</v>
      </c>
      <c r="L9" t="s">
        <v>1285</v>
      </c>
      <c r="M9">
        <v>0.5</v>
      </c>
      <c r="P9" s="64" t="s">
        <v>396</v>
      </c>
      <c r="Q9" s="62">
        <v>2.2599999999999998</v>
      </c>
      <c r="R9" s="62">
        <v>2.83</v>
      </c>
      <c r="S9" s="62">
        <v>4.5199999999999996</v>
      </c>
      <c r="T9" s="62">
        <v>6.03</v>
      </c>
      <c r="U9" s="62">
        <v>8.48</v>
      </c>
      <c r="V9" s="65">
        <v>10.18</v>
      </c>
    </row>
    <row r="10" spans="2:22" ht="15" thickBot="1">
      <c r="D10" t="s">
        <v>1286</v>
      </c>
      <c r="F10" t="s">
        <v>1287</v>
      </c>
      <c r="H10" t="s">
        <v>103</v>
      </c>
      <c r="P10" s="64" t="s">
        <v>399</v>
      </c>
      <c r="Q10" s="62">
        <v>3.84</v>
      </c>
      <c r="R10" s="62">
        <v>4.8</v>
      </c>
      <c r="S10" s="62">
        <v>7.69</v>
      </c>
      <c r="T10" s="62">
        <v>10.25</v>
      </c>
      <c r="U10" s="62">
        <v>14.41</v>
      </c>
      <c r="V10" s="65">
        <v>17.29</v>
      </c>
    </row>
    <row r="11" spans="2:22" ht="15" thickBot="1">
      <c r="D11" t="s">
        <v>236</v>
      </c>
      <c r="F11" t="s">
        <v>1288</v>
      </c>
      <c r="H11" t="s">
        <v>163</v>
      </c>
      <c r="P11" s="64" t="s">
        <v>1289</v>
      </c>
      <c r="Q11" s="62">
        <v>5.13</v>
      </c>
      <c r="R11" s="62">
        <v>6.42</v>
      </c>
      <c r="S11" s="62">
        <v>10.27</v>
      </c>
      <c r="T11" s="62">
        <v>13.7</v>
      </c>
      <c r="U11" s="62">
        <v>19.25</v>
      </c>
      <c r="V11" s="65">
        <v>23.1</v>
      </c>
    </row>
    <row r="12" spans="2:22" ht="15" thickBot="1">
      <c r="D12" t="s">
        <v>240</v>
      </c>
      <c r="F12" t="s">
        <v>1290</v>
      </c>
      <c r="H12" t="s">
        <v>97</v>
      </c>
      <c r="P12" s="64" t="s">
        <v>403</v>
      </c>
      <c r="Q12" s="62">
        <v>9.35</v>
      </c>
      <c r="R12" s="62">
        <v>11.69</v>
      </c>
      <c r="S12" s="62" t="s">
        <v>1291</v>
      </c>
      <c r="T12" s="62">
        <v>24.93</v>
      </c>
      <c r="U12" s="62">
        <v>35.06</v>
      </c>
      <c r="V12" s="65">
        <v>42.07</v>
      </c>
    </row>
    <row r="13" spans="2:22" ht="15" thickBot="1">
      <c r="D13" t="s">
        <v>1292</v>
      </c>
      <c r="F13" t="s">
        <v>116</v>
      </c>
      <c r="H13" t="s">
        <v>1293</v>
      </c>
      <c r="P13" s="64" t="s">
        <v>426</v>
      </c>
      <c r="Q13" s="62">
        <v>18</v>
      </c>
      <c r="R13" s="62">
        <v>23</v>
      </c>
      <c r="S13" s="62">
        <v>37</v>
      </c>
      <c r="T13" s="62">
        <v>49</v>
      </c>
      <c r="U13" s="62">
        <v>70</v>
      </c>
      <c r="V13" s="65">
        <v>83</v>
      </c>
    </row>
    <row r="14" spans="2:22" ht="15" thickBot="1">
      <c r="D14" t="s">
        <v>1294</v>
      </c>
      <c r="F14" t="s">
        <v>171</v>
      </c>
      <c r="H14" t="s">
        <v>191</v>
      </c>
      <c r="P14" s="64" t="s">
        <v>825</v>
      </c>
      <c r="Q14" s="62">
        <v>32</v>
      </c>
      <c r="R14" s="62">
        <v>40</v>
      </c>
      <c r="S14" s="62">
        <v>65</v>
      </c>
      <c r="T14" s="62">
        <v>86</v>
      </c>
      <c r="U14" s="62">
        <v>121</v>
      </c>
      <c r="V14" s="65">
        <v>146</v>
      </c>
    </row>
    <row r="15" spans="2:22" ht="15" thickBot="1">
      <c r="D15" t="s">
        <v>1295</v>
      </c>
      <c r="F15" t="s">
        <v>1296</v>
      </c>
      <c r="H15" s="12" t="s">
        <v>111</v>
      </c>
      <c r="P15" s="64" t="s">
        <v>1297</v>
      </c>
      <c r="Q15" s="62">
        <v>52</v>
      </c>
      <c r="R15" s="62">
        <v>65</v>
      </c>
      <c r="S15" s="62" t="s">
        <v>1298</v>
      </c>
      <c r="T15" s="62">
        <v>138</v>
      </c>
      <c r="U15" s="62">
        <v>194</v>
      </c>
      <c r="V15" s="65">
        <v>233</v>
      </c>
    </row>
    <row r="16" spans="2:22" ht="15" thickBot="1">
      <c r="D16" t="s">
        <v>124</v>
      </c>
      <c r="F16" t="s">
        <v>1299</v>
      </c>
      <c r="H16" t="s">
        <v>85</v>
      </c>
      <c r="P16" s="64" t="s">
        <v>494</v>
      </c>
      <c r="Q16" s="62">
        <v>81</v>
      </c>
      <c r="R16" s="62">
        <v>101</v>
      </c>
      <c r="S16" s="62" t="s">
        <v>1300</v>
      </c>
      <c r="T16" s="62">
        <v>215</v>
      </c>
      <c r="U16" s="62">
        <v>302</v>
      </c>
      <c r="V16" s="65">
        <v>363</v>
      </c>
    </row>
    <row r="17" spans="4:22" ht="15" thickBot="1">
      <c r="D17" t="s">
        <v>1301</v>
      </c>
      <c r="F17" t="s">
        <v>123</v>
      </c>
      <c r="H17" t="s">
        <v>307</v>
      </c>
      <c r="P17" s="64" t="s">
        <v>1302</v>
      </c>
      <c r="Q17" s="62" t="s">
        <v>1303</v>
      </c>
      <c r="R17" s="62">
        <v>139</v>
      </c>
      <c r="S17" s="62" t="s">
        <v>1304</v>
      </c>
      <c r="T17" s="62">
        <v>296</v>
      </c>
      <c r="U17" s="62">
        <v>417</v>
      </c>
      <c r="V17" s="65">
        <v>500</v>
      </c>
    </row>
    <row r="18" spans="4:22" ht="15" thickBot="1">
      <c r="D18" t="s">
        <v>115</v>
      </c>
      <c r="F18" t="s">
        <v>107</v>
      </c>
      <c r="H18" t="s">
        <v>76</v>
      </c>
      <c r="P18" s="64" t="s">
        <v>1305</v>
      </c>
      <c r="Q18" s="62" t="s">
        <v>1306</v>
      </c>
      <c r="R18" s="62">
        <v>197</v>
      </c>
      <c r="S18" s="62" t="s">
        <v>1307</v>
      </c>
      <c r="T18" s="62">
        <v>420</v>
      </c>
      <c r="U18" s="62">
        <v>590</v>
      </c>
      <c r="V18" s="65">
        <v>709</v>
      </c>
    </row>
    <row r="19" spans="4:22" ht="15" thickBot="1">
      <c r="D19" t="s">
        <v>1308</v>
      </c>
      <c r="F19" s="14" t="s">
        <v>1309</v>
      </c>
      <c r="H19" t="s">
        <v>89</v>
      </c>
      <c r="P19" s="64" t="s">
        <v>1310</v>
      </c>
      <c r="Q19" s="62" t="s">
        <v>1311</v>
      </c>
      <c r="R19" s="62">
        <v>269</v>
      </c>
      <c r="S19" s="62" t="s">
        <v>1312</v>
      </c>
      <c r="T19" s="62">
        <v>574</v>
      </c>
      <c r="U19" s="62">
        <v>807</v>
      </c>
      <c r="V19" s="65">
        <v>968</v>
      </c>
    </row>
    <row r="20" spans="4:22" ht="15" thickBot="1">
      <c r="D20" t="s">
        <v>117</v>
      </c>
      <c r="H20" t="s">
        <v>42</v>
      </c>
      <c r="P20" s="64" t="s">
        <v>1313</v>
      </c>
      <c r="Q20" s="62" t="s">
        <v>1314</v>
      </c>
      <c r="R20" s="62">
        <v>340</v>
      </c>
      <c r="S20" s="62" t="s">
        <v>1315</v>
      </c>
      <c r="T20" s="62">
        <v>726</v>
      </c>
      <c r="U20" s="62">
        <v>1020</v>
      </c>
      <c r="V20" s="65">
        <v>1224</v>
      </c>
    </row>
    <row r="21" spans="4:22" ht="15" thickBot="1">
      <c r="D21" t="s">
        <v>173</v>
      </c>
      <c r="H21" t="s">
        <v>1316</v>
      </c>
      <c r="P21" s="64" t="s">
        <v>1317</v>
      </c>
      <c r="Q21" s="62" t="s">
        <v>1318</v>
      </c>
      <c r="R21" s="62">
        <v>500</v>
      </c>
      <c r="S21" s="62" t="s">
        <v>1319</v>
      </c>
      <c r="T21" s="62">
        <v>1067</v>
      </c>
      <c r="U21" s="62">
        <v>1500</v>
      </c>
      <c r="V21" s="65">
        <v>1800</v>
      </c>
    </row>
    <row r="22" spans="4:22" ht="15" thickBot="1">
      <c r="D22" t="s">
        <v>96</v>
      </c>
      <c r="P22" s="64" t="s">
        <v>1320</v>
      </c>
      <c r="Q22" s="62" t="s">
        <v>1321</v>
      </c>
      <c r="R22" s="62">
        <v>677</v>
      </c>
      <c r="S22" s="62">
        <v>1083</v>
      </c>
      <c r="T22" s="62">
        <v>1445</v>
      </c>
      <c r="U22" s="62">
        <v>2032</v>
      </c>
      <c r="V22" s="65">
        <v>2438</v>
      </c>
    </row>
    <row r="23" spans="4:22" ht="15" thickBot="1">
      <c r="D23" t="s">
        <v>1322</v>
      </c>
      <c r="P23" s="64" t="s">
        <v>1323</v>
      </c>
      <c r="Q23" s="62" t="s">
        <v>1324</v>
      </c>
      <c r="R23" s="62">
        <v>923</v>
      </c>
      <c r="S23" s="62">
        <v>1477</v>
      </c>
      <c r="T23" s="62">
        <v>1969</v>
      </c>
      <c r="U23" s="62">
        <v>2770</v>
      </c>
      <c r="V23" s="65">
        <v>3323</v>
      </c>
    </row>
    <row r="24" spans="4:22" ht="15" thickBot="1">
      <c r="D24" t="s">
        <v>1325</v>
      </c>
      <c r="P24" s="64" t="s">
        <v>1326</v>
      </c>
      <c r="Q24" s="62" t="s">
        <v>1327</v>
      </c>
      <c r="R24" s="62" t="s">
        <v>1328</v>
      </c>
      <c r="S24" s="62">
        <v>1896</v>
      </c>
      <c r="T24" s="62">
        <v>2528</v>
      </c>
      <c r="U24" s="62">
        <v>3555</v>
      </c>
      <c r="V24" s="65">
        <v>4266</v>
      </c>
    </row>
    <row r="25" spans="4:22" ht="15" thickBot="1">
      <c r="D25" t="s">
        <v>1329</v>
      </c>
      <c r="P25" s="64" t="s">
        <v>1330</v>
      </c>
      <c r="Q25" s="62">
        <v>1229</v>
      </c>
      <c r="R25" s="62" t="s">
        <v>1331</v>
      </c>
      <c r="S25" s="62">
        <v>2457</v>
      </c>
      <c r="T25" s="62">
        <v>3276</v>
      </c>
      <c r="U25" s="62">
        <v>4607</v>
      </c>
      <c r="V25" s="65">
        <v>5529</v>
      </c>
    </row>
    <row r="26" spans="4:22" ht="15" thickBot="1">
      <c r="D26" t="s">
        <v>305</v>
      </c>
      <c r="P26" s="64" t="s">
        <v>1332</v>
      </c>
      <c r="Q26" s="62">
        <v>1519</v>
      </c>
      <c r="R26" s="62" t="s">
        <v>1333</v>
      </c>
      <c r="S26" s="62">
        <v>3038</v>
      </c>
      <c r="T26" s="62">
        <v>4050</v>
      </c>
      <c r="U26" s="62">
        <v>5696</v>
      </c>
      <c r="V26" s="65">
        <v>6835</v>
      </c>
    </row>
    <row r="27" spans="4:22" ht="15" thickBot="1">
      <c r="D27" t="s">
        <v>155</v>
      </c>
      <c r="P27" s="64" t="s">
        <v>1334</v>
      </c>
      <c r="Q27" s="62">
        <v>1898</v>
      </c>
      <c r="R27" s="62" t="s">
        <v>1335</v>
      </c>
      <c r="S27" s="62">
        <v>3796</v>
      </c>
      <c r="T27" s="62">
        <v>5062</v>
      </c>
      <c r="U27" s="62">
        <v>7118</v>
      </c>
      <c r="V27" s="65">
        <v>8541</v>
      </c>
    </row>
    <row r="28" spans="4:22" ht="15" thickBot="1">
      <c r="D28" t="s">
        <v>1336</v>
      </c>
      <c r="P28" s="64" t="s">
        <v>1337</v>
      </c>
      <c r="Q28" s="62">
        <v>2282</v>
      </c>
      <c r="R28" s="62" t="s">
        <v>1338</v>
      </c>
      <c r="S28" s="62">
        <v>4565</v>
      </c>
      <c r="T28" s="62">
        <v>6086</v>
      </c>
      <c r="U28" s="62">
        <v>8559</v>
      </c>
      <c r="V28" s="65">
        <v>10271</v>
      </c>
    </row>
    <row r="29" spans="4:22" ht="15" thickBot="1">
      <c r="D29" s="14" t="s">
        <v>183</v>
      </c>
      <c r="P29" s="64" t="s">
        <v>1339</v>
      </c>
      <c r="Q29" s="62">
        <v>2954</v>
      </c>
      <c r="R29" s="62" t="s">
        <v>1340</v>
      </c>
      <c r="S29" s="62">
        <v>5907</v>
      </c>
      <c r="T29" s="62">
        <v>7876</v>
      </c>
      <c r="U29" s="62">
        <v>11076</v>
      </c>
      <c r="V29" s="65">
        <v>13292</v>
      </c>
    </row>
    <row r="30" spans="4:22" ht="15" thickBot="1">
      <c r="D30" t="s">
        <v>1341</v>
      </c>
      <c r="P30" s="64" t="s">
        <v>1342</v>
      </c>
      <c r="Q30" s="62">
        <v>3672</v>
      </c>
      <c r="R30" s="62" t="s">
        <v>1343</v>
      </c>
      <c r="S30" s="62">
        <v>7345</v>
      </c>
      <c r="T30" s="62">
        <v>9793</v>
      </c>
      <c r="U30" s="62">
        <v>13772</v>
      </c>
      <c r="V30" s="65">
        <v>16526</v>
      </c>
    </row>
    <row r="31" spans="4:22" ht="15" thickBot="1">
      <c r="D31" t="s">
        <v>1344</v>
      </c>
      <c r="P31" s="64" t="s">
        <v>1345</v>
      </c>
      <c r="Q31" s="62">
        <v>4582</v>
      </c>
      <c r="R31" s="62" t="s">
        <v>1346</v>
      </c>
      <c r="S31" s="62">
        <v>9164</v>
      </c>
      <c r="T31" s="62">
        <v>12219</v>
      </c>
      <c r="U31" s="62">
        <v>17183</v>
      </c>
      <c r="V31" s="65">
        <v>20619</v>
      </c>
    </row>
    <row r="32" spans="4:22" ht="15" thickBot="1">
      <c r="D32" t="s">
        <v>1347</v>
      </c>
      <c r="P32" s="64" t="s">
        <v>1348</v>
      </c>
      <c r="Q32" s="62">
        <v>5536</v>
      </c>
      <c r="R32" s="62" t="s">
        <v>1349</v>
      </c>
      <c r="S32" s="62">
        <v>11071</v>
      </c>
      <c r="T32" s="62">
        <v>14762</v>
      </c>
      <c r="U32" s="62">
        <v>20759</v>
      </c>
      <c r="V32" s="65">
        <v>24911</v>
      </c>
    </row>
    <row r="33" spans="3:22" ht="15" thickBot="1">
      <c r="D33" t="s">
        <v>1350</v>
      </c>
      <c r="P33" s="66" t="s">
        <v>1351</v>
      </c>
      <c r="Q33" s="67">
        <v>6720</v>
      </c>
      <c r="R33" s="67" t="s">
        <v>1352</v>
      </c>
      <c r="S33" s="67">
        <v>13440</v>
      </c>
      <c r="T33" s="67">
        <v>17919</v>
      </c>
      <c r="U33" s="67">
        <v>25199</v>
      </c>
      <c r="V33" s="68" t="s">
        <v>1353</v>
      </c>
    </row>
    <row r="34" spans="3:22" ht="15" thickTop="1">
      <c r="C34" t="s">
        <v>1</v>
      </c>
      <c r="D34" t="s">
        <v>164</v>
      </c>
    </row>
    <row r="35" spans="3:22">
      <c r="D35" t="s">
        <v>1354</v>
      </c>
    </row>
    <row r="36" spans="3:22">
      <c r="D36" t="s">
        <v>1355</v>
      </c>
    </row>
    <row r="37" spans="3:22">
      <c r="D37" t="s">
        <v>295</v>
      </c>
      <c r="P37" s="72" t="s">
        <v>1265</v>
      </c>
      <c r="Q37" t="s">
        <v>403</v>
      </c>
    </row>
    <row r="38" spans="3:22">
      <c r="D38" t="s">
        <v>1356</v>
      </c>
      <c r="P38" t="s">
        <v>380</v>
      </c>
      <c r="Q38" s="73" t="s">
        <v>486</v>
      </c>
    </row>
    <row r="39" spans="3:22">
      <c r="D39" t="s">
        <v>1357</v>
      </c>
    </row>
    <row r="40" spans="3:22">
      <c r="D40" t="s">
        <v>100</v>
      </c>
      <c r="P40" t="s">
        <v>1266</v>
      </c>
      <c r="Q40">
        <f>INDEX($Q5:$V33,MATCH(Q37,$P5:$P33,0),MATCH(Q38,$Q4:$V4,0))</f>
        <v>24.93</v>
      </c>
    </row>
    <row r="41" spans="3:22">
      <c r="D41" t="s">
        <v>106</v>
      </c>
    </row>
    <row r="42" spans="3:22">
      <c r="D42" t="s">
        <v>303</v>
      </c>
    </row>
    <row r="43" spans="3:22">
      <c r="D43" t="s">
        <v>1358</v>
      </c>
    </row>
    <row r="44" spans="3:22">
      <c r="D44" t="s">
        <v>1359</v>
      </c>
    </row>
    <row r="45" spans="3:22">
      <c r="D45" t="s">
        <v>85</v>
      </c>
    </row>
    <row r="46" spans="3:22">
      <c r="D46" t="s">
        <v>89</v>
      </c>
    </row>
    <row r="47" spans="3:22">
      <c r="D47" t="s">
        <v>112</v>
      </c>
    </row>
    <row r="48" spans="3:22">
      <c r="D48" s="2" t="s">
        <v>142</v>
      </c>
    </row>
    <row r="49" spans="4:4">
      <c r="D49" s="28" t="s">
        <v>93</v>
      </c>
    </row>
    <row r="50" spans="4:4">
      <c r="D50" t="s">
        <v>102</v>
      </c>
    </row>
    <row r="51" spans="4:4">
      <c r="D51" s="129" t="s">
        <v>1360</v>
      </c>
    </row>
  </sheetData>
  <mergeCells count="2">
    <mergeCell ref="L1:M1"/>
    <mergeCell ref="Q1:V2"/>
  </mergeCells>
  <pageMargins left="0.7" right="0.7" top="0.78749999999999998" bottom="0.78749999999999998" header="0.51180555555555496" footer="0.51180555555555496"/>
  <pageSetup paperSize="9" firstPageNumber="0" orientation="portrait" horizontalDpi="300" verticalDpi="300" r:id="rId1"/>
  <tableParts count="4"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31951-F28D-4C43-AAF3-7A26DDE47182}">
  <dimension ref="A1:V42"/>
  <sheetViews>
    <sheetView workbookViewId="0">
      <selection activeCell="L41" sqref="L41"/>
    </sheetView>
  </sheetViews>
  <sheetFormatPr baseColWidth="10" defaultColWidth="11.44140625" defaultRowHeight="14.4"/>
  <cols>
    <col min="1" max="11" width="10.44140625" customWidth="1"/>
    <col min="17" max="17" width="78.5546875" bestFit="1" customWidth="1"/>
    <col min="18" max="18" width="12" bestFit="1" customWidth="1"/>
    <col min="19" max="19" width="13" bestFit="1" customWidth="1"/>
    <col min="20" max="20" width="7.5546875" bestFit="1" customWidth="1"/>
    <col min="21" max="21" width="22.44140625" bestFit="1" customWidth="1"/>
    <col min="22" max="22" width="8" bestFit="1" customWidth="1"/>
  </cols>
  <sheetData>
    <row r="1" spans="1:22" s="146" customFormat="1">
      <c r="A1" s="254" t="s">
        <v>1362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6"/>
      <c r="Q1" s="259" t="s">
        <v>1363</v>
      </c>
      <c r="R1" s="13"/>
      <c r="S1" s="260" t="s">
        <v>1364</v>
      </c>
      <c r="T1" s="260"/>
      <c r="U1" s="260"/>
      <c r="V1" s="165"/>
    </row>
    <row r="2" spans="1:22">
      <c r="Q2" s="259"/>
      <c r="R2" s="166" t="s">
        <v>1365</v>
      </c>
      <c r="S2" s="38" t="s">
        <v>374</v>
      </c>
      <c r="T2" s="167" t="s">
        <v>289</v>
      </c>
      <c r="U2" s="38" t="s">
        <v>131</v>
      </c>
      <c r="V2" s="38" t="s">
        <v>1366</v>
      </c>
    </row>
    <row r="3" spans="1:22" s="158" customFormat="1">
      <c r="A3" s="147" t="s">
        <v>1367</v>
      </c>
      <c r="B3" s="148" t="s">
        <v>1368</v>
      </c>
      <c r="C3" s="149" t="s">
        <v>1369</v>
      </c>
      <c r="D3" s="150" t="s">
        <v>87</v>
      </c>
      <c r="E3" s="151" t="s">
        <v>1370</v>
      </c>
      <c r="F3" s="152" t="s">
        <v>1371</v>
      </c>
      <c r="G3" s="153" t="s">
        <v>1371</v>
      </c>
      <c r="H3" s="154" t="s">
        <v>88</v>
      </c>
      <c r="I3" s="155" t="s">
        <v>1372</v>
      </c>
      <c r="J3" s="156" t="s">
        <v>1373</v>
      </c>
      <c r="K3" s="157" t="s">
        <v>1361</v>
      </c>
      <c r="L3" s="257"/>
      <c r="M3" s="258"/>
      <c r="N3" s="258"/>
      <c r="O3" s="258"/>
      <c r="Q3" s="168"/>
      <c r="R3" s="168"/>
      <c r="S3" s="38"/>
      <c r="T3" s="167"/>
      <c r="U3" s="38"/>
      <c r="V3" s="38"/>
    </row>
    <row r="4" spans="1:22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73"/>
      <c r="M4" s="73"/>
      <c r="Q4" s="169" t="str">
        <f>S4&amp;"_"&amp;T4&amp;"_M01_999_999"&amp;"_"&amp;U4&amp;REPT("_",45-LEN(S4&amp;"_"&amp;T4&amp;"_"&amp;U4))&amp;"_YYMMDD_CSI"</f>
        <v>002_006_905_00_M01_999_999_ZSB_MOTORAUFNAHME______________YYMMDD_CSI</v>
      </c>
      <c r="R4" s="170" t="s">
        <v>1374</v>
      </c>
      <c r="S4" s="171" t="str">
        <f>_xlfn.CONCAT(LEFT(R4,3),"_",MID(R4,4,3),"_",MID(R4,7,3))</f>
        <v>002_006_905</v>
      </c>
      <c r="T4" s="35" t="str">
        <f>RIGHT(R4,2)</f>
        <v>00</v>
      </c>
      <c r="U4" s="107" t="s">
        <v>1375</v>
      </c>
      <c r="V4" s="107">
        <f>LEN(Q4)</f>
        <v>68</v>
      </c>
    </row>
    <row r="5" spans="1:22" s="146" customFormat="1">
      <c r="A5" s="160"/>
      <c r="B5" s="160"/>
      <c r="C5" s="160"/>
      <c r="D5" s="160"/>
      <c r="E5" s="160"/>
      <c r="F5" s="160"/>
      <c r="G5" s="160"/>
      <c r="H5" s="160"/>
      <c r="I5" s="160"/>
      <c r="J5" s="160"/>
      <c r="K5" s="157" t="s">
        <v>1361</v>
      </c>
      <c r="L5" s="161" t="s">
        <v>1376</v>
      </c>
      <c r="M5" s="161"/>
      <c r="N5" s="162"/>
      <c r="O5" s="162"/>
      <c r="Q5" s="169" t="str">
        <f t="shared" ref="Q5:Q30" si="0">S5&amp;"_"&amp;T5&amp;"_M01_999_999"&amp;"_"&amp;U5&amp;REPT("_",45-LEN(S5&amp;"_"&amp;T5&amp;"_"&amp;U5))&amp;"_YYMMDD_CSI"</f>
        <v>002_008_001_01_M01_999_999_BEISPIEL_______________________YYMMDD_CSI</v>
      </c>
      <c r="R5" s="170" t="s">
        <v>1377</v>
      </c>
      <c r="S5" s="171" t="str">
        <f t="shared" ref="S5:S30" si="1">_xlfn.CONCAT(LEFT(R5,3),"_",MID(R5,4,3),"_",MID(R5,7,3))</f>
        <v>002_008_001</v>
      </c>
      <c r="T5" s="35" t="str">
        <f t="shared" ref="T5:T30" si="2">RIGHT(R5,2)</f>
        <v>01</v>
      </c>
      <c r="U5" s="107" t="s">
        <v>1378</v>
      </c>
      <c r="V5" s="107">
        <f t="shared" ref="V5:V30" si="3">LEN(Q5)</f>
        <v>68</v>
      </c>
    </row>
    <row r="6" spans="1:22">
      <c r="A6" s="159"/>
      <c r="B6" s="159"/>
      <c r="C6" s="159"/>
      <c r="D6" s="159"/>
      <c r="E6" s="159"/>
      <c r="F6" s="159"/>
      <c r="G6" s="159"/>
      <c r="H6" s="159"/>
      <c r="I6" s="159"/>
      <c r="J6" s="159"/>
      <c r="K6" s="73"/>
      <c r="L6" s="73"/>
      <c r="M6" s="73"/>
      <c r="Q6" s="169" t="str">
        <f t="shared" si="0"/>
        <v>002_003_001_01_M01_999_999_ZSB_TRAEGERMODUL_______________YYMMDD_CSI</v>
      </c>
      <c r="R6" s="170" t="s">
        <v>1379</v>
      </c>
      <c r="S6" s="171" t="str">
        <f t="shared" si="1"/>
        <v>002_003_001</v>
      </c>
      <c r="T6" s="35" t="str">
        <f t="shared" si="2"/>
        <v>01</v>
      </c>
      <c r="U6" s="107" t="s">
        <v>4</v>
      </c>
      <c r="V6" s="107">
        <f t="shared" si="3"/>
        <v>68</v>
      </c>
    </row>
    <row r="7" spans="1:22" s="146" customFormat="1">
      <c r="A7" s="160"/>
      <c r="B7" s="160"/>
      <c r="C7" s="160"/>
      <c r="D7" s="160"/>
      <c r="E7" s="160"/>
      <c r="F7" s="160"/>
      <c r="G7" s="160"/>
      <c r="H7" s="160"/>
      <c r="I7" s="160"/>
      <c r="J7" s="156" t="s">
        <v>1373</v>
      </c>
      <c r="K7" s="161" t="s">
        <v>1380</v>
      </c>
      <c r="L7" s="161"/>
      <c r="M7" s="161"/>
      <c r="N7" s="162"/>
      <c r="O7" s="162"/>
      <c r="Q7" s="169" t="str">
        <f t="shared" si="0"/>
        <v>111_222_333_44_M01_999_999_test___________________________YYMMDD_CSI</v>
      </c>
      <c r="R7" s="170" t="s">
        <v>1381</v>
      </c>
      <c r="S7" s="171" t="str">
        <f t="shared" si="1"/>
        <v>111_222_333</v>
      </c>
      <c r="T7" s="35" t="str">
        <f t="shared" si="2"/>
        <v>44</v>
      </c>
      <c r="U7" s="107" t="s">
        <v>1382</v>
      </c>
      <c r="V7" s="107">
        <f t="shared" si="3"/>
        <v>68</v>
      </c>
    </row>
    <row r="8" spans="1:22">
      <c r="A8" s="159"/>
      <c r="B8" s="159"/>
      <c r="C8" s="159"/>
      <c r="D8" s="159"/>
      <c r="E8" s="159"/>
      <c r="F8" s="159"/>
      <c r="G8" s="159"/>
      <c r="H8" s="159"/>
      <c r="I8" s="159"/>
      <c r="J8" s="73"/>
      <c r="K8" s="73"/>
      <c r="L8" s="73"/>
      <c r="M8" s="73"/>
      <c r="Q8" s="169" t="str">
        <f t="shared" si="0"/>
        <v>111_222_333_44_M01_999_999_test___________________________YYMMDD_CSI</v>
      </c>
      <c r="R8" s="170" t="s">
        <v>1381</v>
      </c>
      <c r="S8" s="171" t="str">
        <f t="shared" si="1"/>
        <v>111_222_333</v>
      </c>
      <c r="T8" s="35" t="str">
        <f t="shared" si="2"/>
        <v>44</v>
      </c>
      <c r="U8" s="107" t="s">
        <v>1382</v>
      </c>
      <c r="V8" s="107">
        <f t="shared" si="3"/>
        <v>68</v>
      </c>
    </row>
    <row r="9" spans="1:22" s="146" customFormat="1">
      <c r="A9" s="160"/>
      <c r="B9" s="160"/>
      <c r="C9" s="160"/>
      <c r="D9" s="160"/>
      <c r="E9" s="160"/>
      <c r="F9" s="160"/>
      <c r="G9" s="160"/>
      <c r="H9" s="160"/>
      <c r="I9" s="155" t="s">
        <v>1372</v>
      </c>
      <c r="J9" s="161" t="s">
        <v>1383</v>
      </c>
      <c r="K9" s="161"/>
      <c r="L9" s="161"/>
      <c r="M9" s="161"/>
      <c r="N9" s="162"/>
      <c r="O9" s="162"/>
      <c r="Q9" s="169" t="str">
        <f t="shared" si="0"/>
        <v>111_222_333_44_M01_999_999_test___________________________YYMMDD_CSI</v>
      </c>
      <c r="R9" s="170" t="s">
        <v>1381</v>
      </c>
      <c r="S9" s="171" t="str">
        <f t="shared" si="1"/>
        <v>111_222_333</v>
      </c>
      <c r="T9" s="35" t="str">
        <f t="shared" si="2"/>
        <v>44</v>
      </c>
      <c r="U9" s="107" t="s">
        <v>1382</v>
      </c>
      <c r="V9" s="107">
        <f t="shared" si="3"/>
        <v>68</v>
      </c>
    </row>
    <row r="10" spans="1:22">
      <c r="A10" s="159"/>
      <c r="B10" s="159"/>
      <c r="C10" s="159"/>
      <c r="D10" s="159"/>
      <c r="E10" s="159"/>
      <c r="F10" s="159"/>
      <c r="G10" s="159"/>
      <c r="H10" s="159"/>
      <c r="I10" s="73"/>
      <c r="J10" s="73"/>
      <c r="K10" s="73"/>
      <c r="L10" s="73"/>
      <c r="M10" s="73"/>
      <c r="Q10" s="169" t="str">
        <f t="shared" si="0"/>
        <v>111_222_333_44_M01_999_999_test___________________________YYMMDD_CSI</v>
      </c>
      <c r="R10" s="170" t="s">
        <v>1381</v>
      </c>
      <c r="S10" s="171" t="str">
        <f t="shared" si="1"/>
        <v>111_222_333</v>
      </c>
      <c r="T10" s="35" t="str">
        <f t="shared" si="2"/>
        <v>44</v>
      </c>
      <c r="U10" s="107" t="s">
        <v>1382</v>
      </c>
      <c r="V10" s="107">
        <f t="shared" si="3"/>
        <v>68</v>
      </c>
    </row>
    <row r="11" spans="1:22" s="146" customFormat="1">
      <c r="A11" s="160"/>
      <c r="B11" s="160"/>
      <c r="C11" s="160"/>
      <c r="D11" s="160"/>
      <c r="E11" s="160"/>
      <c r="F11" s="160"/>
      <c r="G11" s="160"/>
      <c r="H11" s="154" t="s">
        <v>88</v>
      </c>
      <c r="I11" s="161" t="s">
        <v>1384</v>
      </c>
      <c r="J11" s="161"/>
      <c r="K11" s="161"/>
      <c r="L11" s="161"/>
      <c r="M11" s="161"/>
      <c r="N11" s="162"/>
      <c r="O11" s="162"/>
      <c r="Q11" s="169" t="str">
        <f t="shared" si="0"/>
        <v>111_222_333_44_M01_999_999_test___________________________YYMMDD_CSI</v>
      </c>
      <c r="R11" s="170" t="s">
        <v>1381</v>
      </c>
      <c r="S11" s="171" t="str">
        <f t="shared" si="1"/>
        <v>111_222_333</v>
      </c>
      <c r="T11" s="35" t="str">
        <f t="shared" si="2"/>
        <v>44</v>
      </c>
      <c r="U11" s="107" t="s">
        <v>1382</v>
      </c>
      <c r="V11" s="107">
        <f t="shared" si="3"/>
        <v>68</v>
      </c>
    </row>
    <row r="12" spans="1:22">
      <c r="A12" s="159"/>
      <c r="B12" s="159"/>
      <c r="C12" s="159"/>
      <c r="D12" s="159"/>
      <c r="E12" s="159"/>
      <c r="F12" s="159"/>
      <c r="G12" s="159"/>
      <c r="H12" s="73"/>
      <c r="I12" s="73"/>
      <c r="J12" s="73"/>
      <c r="K12" s="73"/>
      <c r="L12" s="73"/>
      <c r="M12" s="73"/>
      <c r="Q12" s="169" t="str">
        <f t="shared" si="0"/>
        <v>111_222_333_44_M01_999_999_test___________________________YYMMDD_CSI</v>
      </c>
      <c r="R12" s="170" t="s">
        <v>1381</v>
      </c>
      <c r="S12" s="171" t="str">
        <f t="shared" si="1"/>
        <v>111_222_333</v>
      </c>
      <c r="T12" s="35" t="str">
        <f t="shared" si="2"/>
        <v>44</v>
      </c>
      <c r="U12" s="107" t="s">
        <v>1382</v>
      </c>
      <c r="V12" s="107">
        <f t="shared" si="3"/>
        <v>68</v>
      </c>
    </row>
    <row r="13" spans="1:22" s="146" customFormat="1">
      <c r="A13" s="160"/>
      <c r="B13" s="160"/>
      <c r="C13" s="160"/>
      <c r="D13" s="160"/>
      <c r="E13" s="160"/>
      <c r="F13" s="160"/>
      <c r="G13" s="172" t="s">
        <v>1371</v>
      </c>
      <c r="H13" s="161" t="s">
        <v>1385</v>
      </c>
      <c r="I13" s="161"/>
      <c r="J13" s="161"/>
      <c r="K13" s="161"/>
      <c r="L13" s="161"/>
      <c r="M13" s="161"/>
      <c r="N13" s="162"/>
      <c r="O13" s="162"/>
      <c r="Q13" s="169" t="str">
        <f t="shared" si="0"/>
        <v>111_222_333_44_M01_999_999_test___________________________YYMMDD_CSI</v>
      </c>
      <c r="R13" s="170" t="s">
        <v>1381</v>
      </c>
      <c r="S13" s="171" t="str">
        <f t="shared" si="1"/>
        <v>111_222_333</v>
      </c>
      <c r="T13" s="35" t="str">
        <f t="shared" si="2"/>
        <v>44</v>
      </c>
      <c r="U13" s="107" t="s">
        <v>1382</v>
      </c>
      <c r="V13" s="107">
        <f t="shared" si="3"/>
        <v>68</v>
      </c>
    </row>
    <row r="14" spans="1:22">
      <c r="A14" s="159"/>
      <c r="B14" s="159"/>
      <c r="C14" s="159"/>
      <c r="D14" s="159"/>
      <c r="E14" s="159"/>
      <c r="F14" s="159"/>
      <c r="G14" s="73"/>
      <c r="H14" s="163" t="s">
        <v>1386</v>
      </c>
      <c r="I14" s="163"/>
      <c r="J14" s="163"/>
      <c r="K14" s="163"/>
      <c r="L14" s="163"/>
      <c r="M14" s="163"/>
      <c r="N14" s="164"/>
      <c r="O14" s="164"/>
      <c r="Q14" s="169" t="str">
        <f t="shared" si="0"/>
        <v>111_222_333_44_M01_999_999_test___________________________YYMMDD_CSI</v>
      </c>
      <c r="R14" s="170" t="s">
        <v>1381</v>
      </c>
      <c r="S14" s="171" t="str">
        <f t="shared" si="1"/>
        <v>111_222_333</v>
      </c>
      <c r="T14" s="35" t="str">
        <f t="shared" si="2"/>
        <v>44</v>
      </c>
      <c r="U14" s="107" t="s">
        <v>1382</v>
      </c>
      <c r="V14" s="107">
        <f t="shared" si="3"/>
        <v>68</v>
      </c>
    </row>
    <row r="15" spans="1:22">
      <c r="A15" s="159"/>
      <c r="B15" s="159"/>
      <c r="C15" s="159"/>
      <c r="D15" s="159"/>
      <c r="E15" s="159"/>
      <c r="F15" s="159"/>
      <c r="G15" s="73"/>
      <c r="H15" s="73"/>
      <c r="I15" s="73"/>
      <c r="J15" s="73"/>
      <c r="K15" s="73"/>
      <c r="L15" s="73"/>
      <c r="M15" s="73"/>
      <c r="Q15" s="169" t="str">
        <f t="shared" si="0"/>
        <v>111_222_333_44_M01_999_999_test___________________________YYMMDD_CSI</v>
      </c>
      <c r="R15" s="170" t="s">
        <v>1381</v>
      </c>
      <c r="S15" s="171" t="str">
        <f t="shared" si="1"/>
        <v>111_222_333</v>
      </c>
      <c r="T15" s="35" t="str">
        <f t="shared" si="2"/>
        <v>44</v>
      </c>
      <c r="U15" s="107" t="s">
        <v>1382</v>
      </c>
      <c r="V15" s="107">
        <f t="shared" si="3"/>
        <v>68</v>
      </c>
    </row>
    <row r="16" spans="1:22" s="146" customFormat="1">
      <c r="A16" s="160"/>
      <c r="B16" s="160"/>
      <c r="C16" s="160"/>
      <c r="D16" s="160"/>
      <c r="E16" s="160"/>
      <c r="F16" s="152" t="s">
        <v>1371</v>
      </c>
      <c r="G16" s="161" t="s">
        <v>1385</v>
      </c>
      <c r="H16" s="161"/>
      <c r="I16" s="161"/>
      <c r="J16" s="161"/>
      <c r="K16" s="161"/>
      <c r="L16" s="161"/>
      <c r="M16" s="161"/>
      <c r="N16" s="162"/>
      <c r="O16" s="162"/>
      <c r="Q16" s="169" t="str">
        <f t="shared" si="0"/>
        <v>111_222_333_44_M01_999_999_test___________________________YYMMDD_CSI</v>
      </c>
      <c r="R16" s="170" t="s">
        <v>1381</v>
      </c>
      <c r="S16" s="171" t="str">
        <f t="shared" si="1"/>
        <v>111_222_333</v>
      </c>
      <c r="T16" s="35" t="str">
        <f t="shared" si="2"/>
        <v>44</v>
      </c>
      <c r="U16" s="107" t="s">
        <v>1382</v>
      </c>
      <c r="V16" s="107">
        <f t="shared" si="3"/>
        <v>68</v>
      </c>
    </row>
    <row r="17" spans="1:22">
      <c r="A17" s="159"/>
      <c r="B17" s="159"/>
      <c r="C17" s="159"/>
      <c r="D17" s="159"/>
      <c r="E17" s="159"/>
      <c r="F17" s="73"/>
      <c r="G17" s="73"/>
      <c r="H17" s="73"/>
      <c r="I17" s="73"/>
      <c r="J17" s="73"/>
      <c r="K17" s="73"/>
      <c r="L17" s="73"/>
      <c r="M17" s="73"/>
      <c r="Q17" s="169" t="str">
        <f t="shared" si="0"/>
        <v>111_222_333_44_M01_999_999_test___________________________YYMMDD_CSI</v>
      </c>
      <c r="R17" s="170" t="s">
        <v>1381</v>
      </c>
      <c r="S17" s="171" t="str">
        <f t="shared" si="1"/>
        <v>111_222_333</v>
      </c>
      <c r="T17" s="35" t="str">
        <f t="shared" si="2"/>
        <v>44</v>
      </c>
      <c r="U17" s="107" t="s">
        <v>1382</v>
      </c>
      <c r="V17" s="107">
        <f t="shared" si="3"/>
        <v>68</v>
      </c>
    </row>
    <row r="18" spans="1:22" s="146" customFormat="1">
      <c r="A18" s="160"/>
      <c r="B18" s="160"/>
      <c r="C18" s="160"/>
      <c r="D18" s="160"/>
      <c r="E18" s="151" t="s">
        <v>1370</v>
      </c>
      <c r="F18" s="161" t="s">
        <v>1387</v>
      </c>
      <c r="G18" s="161"/>
      <c r="H18" s="161"/>
      <c r="I18" s="161"/>
      <c r="J18" s="161"/>
      <c r="K18" s="161"/>
      <c r="L18" s="161"/>
      <c r="M18" s="161"/>
      <c r="N18" s="162"/>
      <c r="O18" s="162"/>
      <c r="Q18" s="169" t="str">
        <f t="shared" si="0"/>
        <v>111_222_333_44_M01_999_999_test___________________________YYMMDD_CSI</v>
      </c>
      <c r="R18" s="170" t="s">
        <v>1381</v>
      </c>
      <c r="S18" s="171" t="str">
        <f t="shared" si="1"/>
        <v>111_222_333</v>
      </c>
      <c r="T18" s="35" t="str">
        <f t="shared" si="2"/>
        <v>44</v>
      </c>
      <c r="U18" s="107" t="s">
        <v>1382</v>
      </c>
      <c r="V18" s="107">
        <f t="shared" si="3"/>
        <v>68</v>
      </c>
    </row>
    <row r="19" spans="1:22">
      <c r="A19" s="159"/>
      <c r="B19" s="159"/>
      <c r="C19" s="159"/>
      <c r="D19" s="159"/>
      <c r="E19" s="73"/>
      <c r="F19" s="163" t="s">
        <v>1388</v>
      </c>
      <c r="G19" s="163"/>
      <c r="H19" s="163"/>
      <c r="I19" s="163"/>
      <c r="J19" s="163"/>
      <c r="K19" s="163"/>
      <c r="L19" s="163"/>
      <c r="M19" s="163"/>
      <c r="N19" s="164"/>
      <c r="O19" s="164"/>
      <c r="Q19" s="169" t="str">
        <f t="shared" si="0"/>
        <v>111_222_333_44_M01_999_999_test___________________________YYMMDD_CSI</v>
      </c>
      <c r="R19" s="170" t="s">
        <v>1381</v>
      </c>
      <c r="S19" s="171" t="str">
        <f t="shared" si="1"/>
        <v>111_222_333</v>
      </c>
      <c r="T19" s="35" t="str">
        <f t="shared" si="2"/>
        <v>44</v>
      </c>
      <c r="U19" s="107" t="s">
        <v>1382</v>
      </c>
      <c r="V19" s="107">
        <f t="shared" si="3"/>
        <v>68</v>
      </c>
    </row>
    <row r="20" spans="1:22">
      <c r="A20" s="159"/>
      <c r="B20" s="159"/>
      <c r="C20" s="159"/>
      <c r="D20" s="159"/>
      <c r="E20" s="73"/>
      <c r="F20" s="73"/>
      <c r="G20" s="73"/>
      <c r="H20" s="73"/>
      <c r="I20" s="73"/>
      <c r="J20" s="73"/>
      <c r="K20" s="73"/>
      <c r="L20" s="73"/>
      <c r="M20" s="73"/>
      <c r="Q20" s="169" t="str">
        <f t="shared" si="0"/>
        <v>111_222_333_44_M01_999_999_test___________________________YYMMDD_CSI</v>
      </c>
      <c r="R20" s="170" t="s">
        <v>1381</v>
      </c>
      <c r="S20" s="171" t="str">
        <f t="shared" si="1"/>
        <v>111_222_333</v>
      </c>
      <c r="T20" s="35" t="str">
        <f t="shared" si="2"/>
        <v>44</v>
      </c>
      <c r="U20" s="107" t="s">
        <v>1382</v>
      </c>
      <c r="V20" s="107">
        <f t="shared" si="3"/>
        <v>68</v>
      </c>
    </row>
    <row r="21" spans="1:22" s="146" customFormat="1">
      <c r="A21" s="160"/>
      <c r="B21" s="160"/>
      <c r="C21" s="160"/>
      <c r="D21" s="150" t="s">
        <v>87</v>
      </c>
      <c r="E21" s="161" t="s">
        <v>1389</v>
      </c>
      <c r="F21" s="161"/>
      <c r="G21" s="161"/>
      <c r="H21" s="161"/>
      <c r="I21" s="161"/>
      <c r="J21" s="161"/>
      <c r="K21" s="161"/>
      <c r="L21" s="161"/>
      <c r="M21" s="161"/>
      <c r="N21" s="162"/>
      <c r="O21" s="162"/>
      <c r="Q21" s="169" t="str">
        <f t="shared" si="0"/>
        <v>111_222_333_44_M01_999_999_test___________________________YYMMDD_CSI</v>
      </c>
      <c r="R21" s="170" t="s">
        <v>1381</v>
      </c>
      <c r="S21" s="171" t="str">
        <f t="shared" si="1"/>
        <v>111_222_333</v>
      </c>
      <c r="T21" s="35" t="str">
        <f t="shared" si="2"/>
        <v>44</v>
      </c>
      <c r="U21" s="107" t="s">
        <v>1382</v>
      </c>
      <c r="V21" s="107">
        <f t="shared" si="3"/>
        <v>68</v>
      </c>
    </row>
    <row r="22" spans="1:22">
      <c r="A22" s="159"/>
      <c r="B22" s="159"/>
      <c r="C22" s="159"/>
      <c r="D22" s="128"/>
      <c r="E22" s="163" t="s">
        <v>1390</v>
      </c>
      <c r="F22" s="163"/>
      <c r="G22" s="163"/>
      <c r="H22" s="163"/>
      <c r="I22" s="163"/>
      <c r="J22" s="163"/>
      <c r="K22" s="163"/>
      <c r="L22" s="163"/>
      <c r="M22" s="163"/>
      <c r="N22" s="164"/>
      <c r="O22" s="164"/>
      <c r="Q22" s="169" t="str">
        <f t="shared" si="0"/>
        <v>111_222_333_44_M01_999_999_test___________________________YYMMDD_CSI</v>
      </c>
      <c r="R22" s="170" t="s">
        <v>1381</v>
      </c>
      <c r="S22" s="171" t="str">
        <f t="shared" si="1"/>
        <v>111_222_333</v>
      </c>
      <c r="T22" s="35" t="str">
        <f t="shared" si="2"/>
        <v>44</v>
      </c>
      <c r="U22" s="107" t="s">
        <v>1382</v>
      </c>
      <c r="V22" s="107">
        <f t="shared" si="3"/>
        <v>68</v>
      </c>
    </row>
    <row r="23" spans="1:22">
      <c r="A23" s="159"/>
      <c r="B23" s="159"/>
      <c r="C23" s="159"/>
      <c r="D23" s="73"/>
      <c r="E23" s="163" t="s">
        <v>1391</v>
      </c>
      <c r="F23" s="163"/>
      <c r="G23" s="163"/>
      <c r="H23" s="163"/>
      <c r="I23" s="163"/>
      <c r="J23" s="163"/>
      <c r="K23" s="163"/>
      <c r="L23" s="163"/>
      <c r="M23" s="163"/>
      <c r="N23" s="164"/>
      <c r="O23" s="164"/>
      <c r="Q23" s="169" t="str">
        <f t="shared" si="0"/>
        <v>111_222_333_44_M01_999_999_test___________________________YYMMDD_CSI</v>
      </c>
      <c r="R23" s="170" t="s">
        <v>1381</v>
      </c>
      <c r="S23" s="171" t="str">
        <f t="shared" si="1"/>
        <v>111_222_333</v>
      </c>
      <c r="T23" s="35" t="str">
        <f t="shared" si="2"/>
        <v>44</v>
      </c>
      <c r="U23" s="107" t="s">
        <v>1382</v>
      </c>
      <c r="V23" s="107">
        <f t="shared" si="3"/>
        <v>68</v>
      </c>
    </row>
    <row r="24" spans="1:22">
      <c r="A24" s="159"/>
      <c r="B24" s="159"/>
      <c r="C24" s="159"/>
      <c r="D24" s="73"/>
      <c r="E24" s="73"/>
      <c r="F24" s="73"/>
      <c r="G24" s="73"/>
      <c r="H24" s="73"/>
      <c r="I24" s="73"/>
      <c r="J24" s="73"/>
      <c r="K24" s="73"/>
      <c r="L24" s="73"/>
      <c r="M24" s="73"/>
      <c r="Q24" s="169" t="str">
        <f t="shared" si="0"/>
        <v>111_222_333_44_M01_999_999_test___________________________YYMMDD_CSI</v>
      </c>
      <c r="R24" s="170" t="s">
        <v>1381</v>
      </c>
      <c r="S24" s="171" t="str">
        <f t="shared" si="1"/>
        <v>111_222_333</v>
      </c>
      <c r="T24" s="35" t="str">
        <f t="shared" si="2"/>
        <v>44</v>
      </c>
      <c r="U24" s="107" t="s">
        <v>1382</v>
      </c>
      <c r="V24" s="107">
        <f t="shared" si="3"/>
        <v>68</v>
      </c>
    </row>
    <row r="25" spans="1:22" s="146" customFormat="1">
      <c r="A25" s="160"/>
      <c r="B25" s="160"/>
      <c r="C25" s="149" t="s">
        <v>1369</v>
      </c>
      <c r="D25" s="161" t="s">
        <v>1392</v>
      </c>
      <c r="E25" s="161"/>
      <c r="F25" s="161"/>
      <c r="G25" s="161"/>
      <c r="H25" s="161"/>
      <c r="I25" s="161"/>
      <c r="J25" s="161"/>
      <c r="K25" s="161"/>
      <c r="L25" s="161"/>
      <c r="M25" s="161"/>
      <c r="N25" s="162"/>
      <c r="O25" s="162"/>
      <c r="Q25" s="169" t="str">
        <f t="shared" si="0"/>
        <v>111_222_333_44_M01_999_999_test___________________________YYMMDD_CSI</v>
      </c>
      <c r="R25" s="170" t="s">
        <v>1381</v>
      </c>
      <c r="S25" s="171" t="str">
        <f t="shared" si="1"/>
        <v>111_222_333</v>
      </c>
      <c r="T25" s="35" t="str">
        <f t="shared" si="2"/>
        <v>44</v>
      </c>
      <c r="U25" s="107" t="s">
        <v>1382</v>
      </c>
      <c r="V25" s="107">
        <f t="shared" si="3"/>
        <v>68</v>
      </c>
    </row>
    <row r="26" spans="1:22">
      <c r="A26" s="159"/>
      <c r="B26" s="159"/>
      <c r="C26" s="73"/>
      <c r="D26" s="163" t="s">
        <v>1393</v>
      </c>
      <c r="E26" s="163"/>
      <c r="F26" s="163"/>
      <c r="G26" s="163"/>
      <c r="H26" s="163"/>
      <c r="I26" s="163" t="s">
        <v>1394</v>
      </c>
      <c r="J26" s="163"/>
      <c r="K26" s="163"/>
      <c r="L26" s="163"/>
      <c r="M26" s="163"/>
      <c r="N26" s="164"/>
      <c r="O26" s="164"/>
      <c r="Q26" s="169" t="str">
        <f t="shared" si="0"/>
        <v>111_222_333_44_M01_999_999_test___________________________YYMMDD_CSI</v>
      </c>
      <c r="R26" s="170" t="s">
        <v>1381</v>
      </c>
      <c r="S26" s="171" t="str">
        <f t="shared" si="1"/>
        <v>111_222_333</v>
      </c>
      <c r="T26" s="35" t="str">
        <f t="shared" si="2"/>
        <v>44</v>
      </c>
      <c r="U26" s="107" t="s">
        <v>1382</v>
      </c>
      <c r="V26" s="107">
        <f t="shared" si="3"/>
        <v>68</v>
      </c>
    </row>
    <row r="27" spans="1:22">
      <c r="A27" s="159"/>
      <c r="B27" s="159"/>
      <c r="C27" s="73"/>
      <c r="D27" s="163" t="s">
        <v>1395</v>
      </c>
      <c r="E27" s="163"/>
      <c r="F27" s="163"/>
      <c r="G27" s="163"/>
      <c r="H27" s="163"/>
      <c r="I27" s="163"/>
      <c r="J27" s="163"/>
      <c r="K27" s="163"/>
      <c r="L27" s="163"/>
      <c r="M27" s="163"/>
      <c r="N27" s="164"/>
      <c r="O27" s="164"/>
      <c r="Q27" s="169" t="str">
        <f t="shared" si="0"/>
        <v>111_222_333_44_M01_999_999_test___________________________YYMMDD_CSI</v>
      </c>
      <c r="R27" s="170" t="s">
        <v>1381</v>
      </c>
      <c r="S27" s="171" t="str">
        <f t="shared" si="1"/>
        <v>111_222_333</v>
      </c>
      <c r="T27" s="35" t="str">
        <f t="shared" si="2"/>
        <v>44</v>
      </c>
      <c r="U27" s="107" t="s">
        <v>1382</v>
      </c>
      <c r="V27" s="107">
        <f t="shared" si="3"/>
        <v>68</v>
      </c>
    </row>
    <row r="28" spans="1:22">
      <c r="A28" s="159"/>
      <c r="B28" s="159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Q28" s="169" t="str">
        <f t="shared" si="0"/>
        <v>111_222_333_44_M01_999_999_test___________________________YYMMDD_CSI</v>
      </c>
      <c r="R28" s="170" t="s">
        <v>1381</v>
      </c>
      <c r="S28" s="171" t="str">
        <f t="shared" si="1"/>
        <v>111_222_333</v>
      </c>
      <c r="T28" s="35" t="str">
        <f t="shared" si="2"/>
        <v>44</v>
      </c>
      <c r="U28" s="107" t="s">
        <v>1382</v>
      </c>
      <c r="V28" s="107">
        <f t="shared" si="3"/>
        <v>68</v>
      </c>
    </row>
    <row r="29" spans="1:22" s="146" customFormat="1">
      <c r="A29" s="160"/>
      <c r="B29" s="148" t="s">
        <v>1368</v>
      </c>
      <c r="C29" s="161" t="s">
        <v>3</v>
      </c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2"/>
      <c r="O29" s="162"/>
      <c r="Q29" s="169" t="str">
        <f t="shared" si="0"/>
        <v>111_222_333_44_M01_999_999_test___________________________YYMMDD_CSI</v>
      </c>
      <c r="R29" s="170" t="s">
        <v>1381</v>
      </c>
      <c r="S29" s="171" t="str">
        <f t="shared" si="1"/>
        <v>111_222_333</v>
      </c>
      <c r="T29" s="35" t="str">
        <f t="shared" si="2"/>
        <v>44</v>
      </c>
      <c r="U29" s="107" t="s">
        <v>1382</v>
      </c>
      <c r="V29" s="107">
        <f t="shared" si="3"/>
        <v>68</v>
      </c>
    </row>
    <row r="30" spans="1:22" ht="15.75" customHeight="1">
      <c r="A30" s="159"/>
      <c r="B30" s="128"/>
      <c r="C30" s="163" t="s">
        <v>1396</v>
      </c>
      <c r="D30" s="163"/>
      <c r="E30" s="163"/>
      <c r="F30" s="163"/>
      <c r="G30" s="163"/>
      <c r="H30" s="163"/>
      <c r="I30" s="163"/>
      <c r="J30" s="163"/>
      <c r="K30" s="163"/>
      <c r="L30" s="163"/>
      <c r="M30" s="163"/>
      <c r="N30" s="164"/>
      <c r="O30" s="164"/>
      <c r="Q30" s="169" t="str">
        <f t="shared" si="0"/>
        <v>111_222_333_44_M01_999_999_test___________________________YYMMDD_CSI</v>
      </c>
      <c r="R30" s="170" t="s">
        <v>1381</v>
      </c>
      <c r="S30" s="171" t="str">
        <f t="shared" si="1"/>
        <v>111_222_333</v>
      </c>
      <c r="T30" s="35" t="str">
        <f t="shared" si="2"/>
        <v>44</v>
      </c>
      <c r="U30" s="107" t="s">
        <v>1382</v>
      </c>
      <c r="V30" s="107">
        <f t="shared" si="3"/>
        <v>68</v>
      </c>
    </row>
    <row r="31" spans="1:22">
      <c r="A31" s="159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</row>
    <row r="32" spans="1:22" s="146" customFormat="1">
      <c r="A32" s="147" t="s">
        <v>1367</v>
      </c>
      <c r="B32" s="161" t="s">
        <v>1397</v>
      </c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2"/>
      <c r="O32" s="162"/>
    </row>
    <row r="33" spans="1:4">
      <c r="A33" s="73"/>
      <c r="B33" s="163" t="s">
        <v>1398</v>
      </c>
      <c r="C33" s="163"/>
      <c r="D33" s="163"/>
    </row>
    <row r="34" spans="1:4">
      <c r="A34" s="73"/>
      <c r="B34" s="163" t="s">
        <v>1399</v>
      </c>
      <c r="C34" s="163"/>
      <c r="D34" s="163"/>
    </row>
    <row r="35" spans="1:4">
      <c r="A35" s="73"/>
      <c r="B35" s="163" t="s">
        <v>1400</v>
      </c>
      <c r="C35" s="163"/>
      <c r="D35" s="163"/>
    </row>
    <row r="36" spans="1:4">
      <c r="A36" s="73"/>
      <c r="B36" s="73" t="s">
        <v>1368</v>
      </c>
      <c r="C36" s="73"/>
      <c r="D36" s="73"/>
    </row>
    <row r="37" spans="1:4">
      <c r="A37" s="73"/>
      <c r="B37" s="73" t="s">
        <v>1401</v>
      </c>
      <c r="C37" s="73"/>
      <c r="D37" s="73"/>
    </row>
    <row r="38" spans="1:4">
      <c r="A38" s="73"/>
      <c r="B38" s="73" t="s">
        <v>120</v>
      </c>
      <c r="C38" s="73" t="s">
        <v>1402</v>
      </c>
      <c r="D38" s="73" t="s">
        <v>1403</v>
      </c>
    </row>
    <row r="39" spans="1:4">
      <c r="A39" s="73"/>
      <c r="B39" s="73" t="s">
        <v>1404</v>
      </c>
      <c r="C39" s="73" t="s">
        <v>1402</v>
      </c>
      <c r="D39" s="73" t="s">
        <v>1405</v>
      </c>
    </row>
    <row r="40" spans="1:4">
      <c r="A40" s="73"/>
      <c r="B40" s="73"/>
      <c r="C40" s="73"/>
      <c r="D40" s="73"/>
    </row>
    <row r="41" spans="1:4">
      <c r="A41" s="73"/>
      <c r="B41" s="73" t="s">
        <v>89</v>
      </c>
      <c r="C41" s="73" t="s">
        <v>1406</v>
      </c>
      <c r="D41" s="73"/>
    </row>
    <row r="42" spans="1:4">
      <c r="A42" s="73"/>
      <c r="B42" s="73" t="s">
        <v>133</v>
      </c>
      <c r="C42" s="73" t="s">
        <v>111</v>
      </c>
      <c r="D42" s="73"/>
    </row>
  </sheetData>
  <mergeCells count="4">
    <mergeCell ref="A1:O1"/>
    <mergeCell ref="L3:O3"/>
    <mergeCell ref="Q1:Q2"/>
    <mergeCell ref="S1:U1"/>
  </mergeCells>
  <pageMargins left="0.7" right="0.7" top="0.78740157499999996" bottom="0.78740157499999996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079aea-ed8a-47ff-be1f-05d891e7bea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B5CBD0AA44A743995420F6930113A1" ma:contentTypeVersion="10" ma:contentTypeDescription="Ein neues Dokument erstellen." ma:contentTypeScope="" ma:versionID="d81ab633b6123485ae70639446cafb78">
  <xsd:schema xmlns:xsd="http://www.w3.org/2001/XMLSchema" xmlns:xs="http://www.w3.org/2001/XMLSchema" xmlns:p="http://schemas.microsoft.com/office/2006/metadata/properties" xmlns:ns2="d9079aea-ed8a-47ff-be1f-05d891e7bea7" targetNamespace="http://schemas.microsoft.com/office/2006/metadata/properties" ma:root="true" ma:fieldsID="ffae2b07468fa2f84556222840dc50df" ns2:_="">
    <xsd:import namespace="d9079aea-ed8a-47ff-be1f-05d891e7be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079aea-ed8a-47ff-be1f-05d891e7be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e263f607-187b-43f3-9aa6-c4ac18e07f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A5CA93-E7E9-46CC-8F28-B4F7B6E764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6BDFD7-1ED0-47D5-90F4-0E4BD4E5490B}">
  <ds:schemaRefs>
    <ds:schemaRef ds:uri="http://schemas.microsoft.com/office/2006/metadata/properties"/>
    <ds:schemaRef ds:uri="http://schemas.microsoft.com/office/infopath/2007/PartnerControls"/>
    <ds:schemaRef ds:uri="d9079aea-ed8a-47ff-be1f-05d891e7bea7"/>
  </ds:schemaRefs>
</ds:datastoreItem>
</file>

<file path=customXml/itemProps3.xml><?xml version="1.0" encoding="utf-8"?>
<ds:datastoreItem xmlns:ds="http://schemas.openxmlformats.org/officeDocument/2006/customXml" ds:itemID="{8099F7D3-BDE1-4B3B-8F4D-926082C2C9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079aea-ed8a-47ff-be1f-05d891e7be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V1.0</vt:lpstr>
      <vt:lpstr>Tabelle2</vt:lpstr>
      <vt:lpstr>Normteile</vt:lpstr>
      <vt:lpstr>Dropdown</vt:lpstr>
      <vt:lpstr>Bauteilbenennung</vt:lpstr>
    </vt:vector>
  </TitlesOfParts>
  <Manager/>
  <Company>Mubea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Franke, Felix</dc:creator>
  <cp:keywords/>
  <dc:description/>
  <cp:lastModifiedBy>Johannes Kapitza</cp:lastModifiedBy>
  <cp:revision>343</cp:revision>
  <dcterms:created xsi:type="dcterms:W3CDTF">2019-10-29T14:17:58Z</dcterms:created>
  <dcterms:modified xsi:type="dcterms:W3CDTF">2025-12-19T10:41:50Z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Mubea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NewReviewCycle">
    <vt:lpwstr/>
  </property>
  <property fmtid="{D5CDD505-2E9C-101B-9397-08002B2CF9AE}" pid="10" name="ContentTypeId">
    <vt:lpwstr>0x010100E4B5CBD0AA44A743995420F6930113A1</vt:lpwstr>
  </property>
  <property fmtid="{D5CDD505-2E9C-101B-9397-08002B2CF9AE}" pid="11" name="MediaServiceImageTags">
    <vt:lpwstr/>
  </property>
</Properties>
</file>