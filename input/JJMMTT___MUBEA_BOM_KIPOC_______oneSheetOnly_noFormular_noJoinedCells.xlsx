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updateLinks="always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kp.CSI\Downloads\"/>
    </mc:Choice>
  </mc:AlternateContent>
  <xr:revisionPtr revIDLastSave="0" documentId="8_{8185D930-FA9B-434C-BCD2-8B6A518B676A}" xr6:coauthVersionLast="47" xr6:coauthVersionMax="47" xr10:uidLastSave="{00000000-0000-0000-0000-000000000000}"/>
  <bookViews>
    <workbookView xWindow="28680" yWindow="-120" windowWidth="51840" windowHeight="21120" xr2:uid="{4F777920-6EF3-48A4-862C-8FA1D9AA837F}"/>
  </bookViews>
  <sheets>
    <sheet name="V1.0" sheetId="29" r:id="rId1"/>
    <sheet name="Tabelle2" sheetId="31" state="hidden" r:id="rId2"/>
  </sheets>
  <definedNames>
    <definedName name="_xlnm._FilterDatabase" localSheetId="0" hidden="1">'V1.0'!$A$4:$CO$13</definedName>
    <definedName name="_FilterDatenbank1" localSheetId="0" hidden="1">'V1.0'!$A$5:$CD$12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xlnp="http://schemas.microsoft.com/office/spreadsheetml/2019/extlinksprops" uri="{FCE6A71B-6B00-49CD-AB44-F6B1AE7CDE65}">
      <xxlnp:externalLinksPr autoRefresh="1"/>
    </ext>
  </extLst>
</workbook>
</file>

<file path=xl/calcChain.xml><?xml version="1.0" encoding="utf-8"?>
<calcChain xmlns="http://schemas.openxmlformats.org/spreadsheetml/2006/main">
  <c r="H10" i="31" l="1"/>
  <c r="H9" i="31"/>
  <c r="H8" i="31"/>
  <c r="H7" i="31"/>
  <c r="G8" i="31"/>
  <c r="G9" i="31"/>
  <c r="G10" i="31"/>
  <c r="G7" i="31"/>
  <c r="J5" i="31"/>
  <c r="L5" i="31" s="1"/>
  <c r="N5" i="31" s="1"/>
  <c r="P5" i="31" s="1"/>
  <c r="R5" i="31" s="1"/>
  <c r="T5" i="31" s="1"/>
  <c r="V5" i="31" s="1"/>
  <c r="X5" i="31" s="1"/>
  <c r="Z5" i="31" s="1"/>
  <c r="AB5" i="31" s="1"/>
  <c r="AD5" i="31" s="1"/>
  <c r="AF5" i="31" s="1"/>
  <c r="AH5" i="31" s="1"/>
  <c r="J4" i="31"/>
  <c r="L4" i="31" s="1"/>
  <c r="N4" i="31" s="1"/>
  <c r="P4" i="31" s="1"/>
  <c r="R4" i="31" s="1"/>
  <c r="T4" i="31" s="1"/>
  <c r="V4" i="31" s="1"/>
  <c r="X4" i="31" s="1"/>
  <c r="Z4" i="31" s="1"/>
  <c r="AB4" i="31" s="1"/>
  <c r="AD4" i="31" s="1"/>
  <c r="AF4" i="31" s="1"/>
  <c r="AH4" i="31" s="1"/>
  <c r="I5" i="31"/>
  <c r="K5" i="31" s="1"/>
  <c r="M5" i="31" s="1"/>
  <c r="O5" i="31" s="1"/>
  <c r="Q5" i="31" s="1"/>
  <c r="S5" i="31" s="1"/>
  <c r="U5" i="31" s="1"/>
  <c r="W5" i="31" s="1"/>
  <c r="Y5" i="31" s="1"/>
  <c r="AA5" i="31" s="1"/>
  <c r="AC5" i="31" s="1"/>
  <c r="AE5" i="31" s="1"/>
  <c r="AG5" i="31" s="1"/>
  <c r="AI5" i="31" s="1"/>
  <c r="I4" i="31"/>
  <c r="K4" i="31" s="1"/>
  <c r="M4" i="31" s="1"/>
  <c r="O4" i="31" s="1"/>
  <c r="Q4" i="31" s="1"/>
  <c r="S4" i="31" s="1"/>
  <c r="U4" i="31" s="1"/>
  <c r="W4" i="31" s="1"/>
  <c r="Y4" i="31" s="1"/>
  <c r="AA4" i="31" s="1"/>
  <c r="AC4" i="31" s="1"/>
  <c r="AE4" i="31" s="1"/>
  <c r="AG4" i="31" s="1"/>
  <c r="AI4" i="31" s="1"/>
</calcChain>
</file>

<file path=xl/sharedStrings.xml><?xml version="1.0" encoding="utf-8"?>
<sst xmlns="http://schemas.openxmlformats.org/spreadsheetml/2006/main" count="465" uniqueCount="151">
  <si>
    <t>-</t>
  </si>
  <si>
    <t xml:space="preserve"> </t>
  </si>
  <si>
    <t> </t>
  </si>
  <si>
    <t>Bereich</t>
  </si>
  <si>
    <t>Hauptbaugruppe</t>
  </si>
  <si>
    <t>Bauteilnummer</t>
  </si>
  <si>
    <t>PRO.FILE-I</t>
  </si>
  <si>
    <t>Material-
nummer</t>
  </si>
  <si>
    <t>Version/Revisonsnr.</t>
  </si>
  <si>
    <t>Freigabestatus
V3.0A</t>
  </si>
  <si>
    <t>Einkaufsstatus
V3.0A</t>
  </si>
  <si>
    <t>Unterbaugruppe</t>
  </si>
  <si>
    <t>Paket</t>
  </si>
  <si>
    <t>Fertigungsverfahren</t>
  </si>
  <si>
    <t>Bicycle Part</t>
  </si>
  <si>
    <t>Einkäufer
(Buyer)</t>
  </si>
  <si>
    <t>Ingenieur (Engineer)</t>
  </si>
  <si>
    <t>Werkstoff</t>
  </si>
  <si>
    <t>Beschichtung</t>
  </si>
  <si>
    <t>Dichte</t>
  </si>
  <si>
    <t>Material-stärke</t>
  </si>
  <si>
    <t>Anzahl</t>
  </si>
  <si>
    <t>Multiplikatinsfaktor
Ersatzteilbedarf</t>
  </si>
  <si>
    <t>Gewicht</t>
  </si>
  <si>
    <t>∑</t>
  </si>
  <si>
    <t>Kaufteil
/Hausteil
/Normteil</t>
  </si>
  <si>
    <t>Einkaufs-
umfang 
Mubea</t>
  </si>
  <si>
    <t>Report</t>
  </si>
  <si>
    <t>Report V3.1 HypaAMZ</t>
  </si>
  <si>
    <t>Lieferant Serie</t>
  </si>
  <si>
    <t>Leadtime
S(hort) = 1-3 weeks
M(iddle) = 4-8 weeks
L(ong) &gt; 8 weeks</t>
  </si>
  <si>
    <t>PO
Number</t>
  </si>
  <si>
    <t xml:space="preserve"> Price
2024
 [€/pcs.]</t>
  </si>
  <si>
    <t xml:space="preserve"> Price
2024 [€/vehicle]</t>
  </si>
  <si>
    <t>Number of ordered parts LOT 1 V3.0A</t>
  </si>
  <si>
    <t xml:space="preserve">Number of ordered parts LOT 2 </t>
  </si>
  <si>
    <t>Mehrfach Nennung</t>
  </si>
  <si>
    <t>Delivered parts Base SAP No.10.04.24</t>
  </si>
  <si>
    <t>Comparison</t>
  </si>
  <si>
    <t>confirmed
date of delivery
LOT 1
(cw/2023)</t>
  </si>
  <si>
    <t>confirmed
date of delivery
LOT 2
(cw/2024)</t>
  </si>
  <si>
    <t xml:space="preserve"> Reduced
Price
next production
 [€/pcs.]</t>
  </si>
  <si>
    <t xml:space="preserve"> Reduced
Price
next production
 [€/vehicle]</t>
  </si>
  <si>
    <t>Remarks</t>
  </si>
  <si>
    <t>Herkunft</t>
  </si>
  <si>
    <t>Montageplatz
(PVB)</t>
  </si>
  <si>
    <t>Anzahl
Montage</t>
  </si>
  <si>
    <t>Anzahl
im Fahrzeug</t>
  </si>
  <si>
    <t>Kategoreie 
Q-Anforderung 
Bauteil</t>
  </si>
  <si>
    <t>Chargenpflicht 
(Stand SAP 14.01.24)</t>
  </si>
  <si>
    <t>Vorgänger 
(alte Materialnummer)</t>
  </si>
  <si>
    <t>Report Bestände</t>
  </si>
  <si>
    <t xml:space="preserve">ZUM SCHNELLEREN ÜBERBLICK KOPIE VON SPALTE D
- = neu / x = COP
a oder Stück = Auslauf
 =&gt; Bestand noch nicht im SAP auf neuer Materialnummer </t>
  </si>
  <si>
    <t>Anmerkung</t>
  </si>
  <si>
    <t>x</t>
  </si>
  <si>
    <t>Freigabestand</t>
  </si>
  <si>
    <t>Kaufteil</t>
  </si>
  <si>
    <t>L</t>
  </si>
  <si>
    <t>ZSB</t>
  </si>
  <si>
    <t>Beistellung</t>
  </si>
  <si>
    <t>Lieferant</t>
  </si>
  <si>
    <t>High</t>
  </si>
  <si>
    <t>Anlieferung</t>
  </si>
  <si>
    <t>ZM Rolling Chassis</t>
  </si>
  <si>
    <t>91906479, 91961350</t>
  </si>
  <si>
    <t>20 V3.0 im Bestand (1xRC im Aufbau)</t>
  </si>
  <si>
    <t>Stahl</t>
  </si>
  <si>
    <t>Arbeitsstand</t>
  </si>
  <si>
    <t>Hausteil</t>
  </si>
  <si>
    <t>geliefert</t>
  </si>
  <si>
    <t>91961349</t>
  </si>
  <si>
    <t>Lfd. Nummer</t>
  </si>
  <si>
    <t>Entfallen</t>
  </si>
  <si>
    <t>COP Serie 2023</t>
  </si>
  <si>
    <t>Neu 2024</t>
  </si>
  <si>
    <t>Import</t>
  </si>
  <si>
    <t>Location</t>
  </si>
  <si>
    <t>BOM</t>
  </si>
  <si>
    <t>Einkauf</t>
  </si>
  <si>
    <t>ER</t>
  </si>
  <si>
    <t>BUK 2026</t>
  </si>
  <si>
    <t>Montage</t>
  </si>
  <si>
    <t>Bauteil</t>
  </si>
  <si>
    <t>Bezeichnung</t>
  </si>
  <si>
    <t xml:space="preserve">Freigabestatus
 V3.0B </t>
  </si>
  <si>
    <t>Freigabestatus
 V3.1A</t>
  </si>
  <si>
    <t>Freigabestatus
 V3.1B</t>
  </si>
  <si>
    <t>3D-Daten</t>
  </si>
  <si>
    <t>2D-Daten</t>
  </si>
  <si>
    <t>Bemerkung</t>
  </si>
  <si>
    <t>akt. Bestand</t>
  </si>
  <si>
    <t>SC Rerpoting</t>
  </si>
  <si>
    <t>Freigabestatus AS</t>
  </si>
  <si>
    <t>update: 09.12.24</t>
  </si>
  <si>
    <t>Materialnummer neu</t>
  </si>
  <si>
    <t>BOM Meeting</t>
  </si>
  <si>
    <t>Referenz V3.1 HypaAMZ</t>
  </si>
  <si>
    <t>Änderung V4.0 StarrAch</t>
  </si>
  <si>
    <t>Entfall V4.0 StarrAch</t>
  </si>
  <si>
    <t>Kommentar Anton / Milos</t>
  </si>
  <si>
    <t>Kommentar</t>
  </si>
  <si>
    <t>Deutsch</t>
  </si>
  <si>
    <t>Englisch</t>
  </si>
  <si>
    <t>Behandelt</t>
  </si>
  <si>
    <t>entfallen</t>
  </si>
  <si>
    <t>Bestand</t>
  </si>
  <si>
    <t>Planned vehicles</t>
  </si>
  <si>
    <t>Materialnummer</t>
  </si>
  <si>
    <t>Artikelbezeichnung</t>
  </si>
  <si>
    <t>Anzahl pro Fahrzeug</t>
  </si>
  <si>
    <t># lt AB</t>
  </si>
  <si>
    <t>Verbrauch</t>
  </si>
  <si>
    <t>Bestand EOW</t>
  </si>
  <si>
    <t>LT angekündigt</t>
  </si>
  <si>
    <t>002_005_105_01_M01_999_999_SPACER_AH_1____________________251201_CSI</t>
  </si>
  <si>
    <t>EN AW 5754 H111 oder ähnliche</t>
  </si>
  <si>
    <t>Aluminium 6082</t>
  </si>
  <si>
    <t>Steel 1.4301</t>
  </si>
  <si>
    <t>Stahl V2A 1.4301</t>
  </si>
  <si>
    <t>Magnesium AZ91</t>
  </si>
  <si>
    <t>PC/ABS</t>
  </si>
  <si>
    <t>Pulverbeschichtet - Schichtdicke 90 ±30 μm // RAL 9005 - SEIDENMATT/20±5%/60DEG</t>
  </si>
  <si>
    <t>tauchbeschichtet</t>
  </si>
  <si>
    <t>lackierte Oberfläche</t>
  </si>
  <si>
    <t>2700kg_m3</t>
  </si>
  <si>
    <t>1810kg_m3</t>
  </si>
  <si>
    <t>1130kg_m3</t>
  </si>
  <si>
    <t>12mm</t>
  </si>
  <si>
    <t>2.5mm</t>
  </si>
  <si>
    <t>111_222_333_00_M01_999_999_ALU_PROFIL_____________________YYMMDD_CSI</t>
  </si>
  <si>
    <t>111_222_333_00_M01_999_999_BLECH__________________________YYMMDD_CSI</t>
  </si>
  <si>
    <t>111_222_333_00_M01_999_999_DREHTEIL_______________________YYMMDD_CSI</t>
  </si>
  <si>
    <t>111_222_333_00_M01_999_999_GUSSTEIL_______________________YYMMDD_CSI</t>
  </si>
  <si>
    <t>111_222_333_00_M01_999_999_KUNSTSTOFF_____________________YYMMDD_CSI</t>
  </si>
  <si>
    <t>111_222_333_00_M01_999_999_STAHL_PROFIL___________________YYMMDD_CSI</t>
  </si>
  <si>
    <t>111_222_333_00_M01_999_999_TESTPRODUCT_________________YYMMDD_CSI</t>
  </si>
  <si>
    <t>what</t>
  </si>
  <si>
    <t>111_222_333_00</t>
  </si>
  <si>
    <t>111_222_333</t>
  </si>
  <si>
    <t>00</t>
  </si>
  <si>
    <t>TESTPRODUCT</t>
  </si>
  <si>
    <t>002_005_105_01</t>
  </si>
  <si>
    <t>002_005_105</t>
  </si>
  <si>
    <t>01</t>
  </si>
  <si>
    <t>SPACER_AH_1</t>
  </si>
  <si>
    <t>ALU_PROFIL</t>
  </si>
  <si>
    <t>BLECH</t>
  </si>
  <si>
    <t>DREHTEIL</t>
  </si>
  <si>
    <t>GUSSTEIL</t>
  </si>
  <si>
    <t>KUNSTSTOFF</t>
  </si>
  <si>
    <t>STAHL_PROFIL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</si>
</sst>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0.000"/>
    <numFmt numFmtId="165" formatCode="#,##0.00\ &quot;€&quot;"/>
    <numFmt numFmtId="166" formatCode="dd/mm/yy;@"/>
  </numFmts>
  <fonts count="36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rgb="FFFFFFFF"/>
      <name val="Calibri"/>
      <family val="2"/>
    </font>
    <font>
      <u/>
      <sz val="11"/>
      <color theme="1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rgb="FF000000"/>
      <name val="Calibri"/>
      <family val="2"/>
    </font>
    <font>
      <sz val="8"/>
      <name val="Calibri"/>
      <family val="2"/>
      <charset val="1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  <charset val="1"/>
    </font>
    <font>
      <sz val="9"/>
      <color rgb="FF000000"/>
      <name val="Calibri"/>
      <family val="2"/>
      <charset val="1"/>
    </font>
    <font>
      <sz val="8"/>
      <color theme="0"/>
      <name val="Calibri"/>
      <family val="2"/>
      <charset val="1"/>
    </font>
    <font>
      <i/>
      <sz val="11"/>
      <color theme="4"/>
      <name val="Calibri"/>
      <family val="2"/>
    </font>
    <font>
      <sz val="11"/>
      <color theme="4"/>
      <name val="Calibri"/>
      <family val="2"/>
    </font>
    <font>
      <sz val="11"/>
      <color rgb="FF006100"/>
      <name val="Calibri"/>
      <family val="2"/>
      <charset val="1"/>
    </font>
    <font>
      <sz val="11"/>
      <color rgb="FF9C0006"/>
      <name val="Calibri"/>
      <family val="2"/>
      <charset val="1"/>
    </font>
    <font>
      <sz val="11"/>
      <color rgb="FF9C5700"/>
      <name val="Calibri"/>
      <family val="2"/>
      <charset val="1"/>
    </font>
    <font>
      <sz val="10"/>
      <name val="Arial"/>
      <family val="2"/>
    </font>
    <font>
      <sz val="8"/>
      <color theme="0"/>
      <name val="Calibri"/>
      <family val="2"/>
    </font>
    <font>
      <sz val="10"/>
      <name val="Arial"/>
      <family val="2"/>
    </font>
    <font>
      <sz val="9"/>
      <name val="Calibri"/>
      <family val="2"/>
    </font>
  </fonts>
  <fills count="44">
    <fill>
      <patternFill patternType="none"/>
    </fill>
    <fill>
      <patternFill patternType="gray125"/>
    </fill>
    <fill>
      <patternFill patternType="solid">
        <fgColor rgb="FFBFBFBF"/>
        <bgColor rgb="FFD0CECE"/>
      </patternFill>
    </fill>
    <fill>
      <patternFill patternType="solid">
        <fgColor rgb="FFBDD7EE"/>
        <bgColor rgb="FFC7D4F9"/>
      </patternFill>
    </fill>
    <fill>
      <patternFill patternType="solid">
        <fgColor rgb="FFFFD966"/>
        <bgColor rgb="FFFFDD71"/>
      </patternFill>
    </fill>
    <fill>
      <patternFill patternType="solid">
        <fgColor rgb="FFF4B183"/>
        <bgColor rgb="FFFFA3A3"/>
      </patternFill>
    </fill>
    <fill>
      <patternFill patternType="solid">
        <fgColor rgb="FF92D050"/>
        <bgColor rgb="FFA9D18E"/>
      </patternFill>
    </fill>
    <fill>
      <patternFill patternType="solid">
        <fgColor rgb="FFF2F2F2"/>
        <bgColor rgb="FFEFF6EA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FF6EA"/>
      </patternFill>
    </fill>
    <fill>
      <patternFill patternType="solid">
        <fgColor rgb="FFE2F0D9"/>
        <bgColor rgb="FFEFF6EA"/>
      </patternFill>
    </fill>
    <fill>
      <patternFill patternType="solid">
        <fgColor rgb="FFE1CCF0"/>
        <bgColor rgb="FFD9D9D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rgb="FFA8BCF6"/>
      </patternFill>
    </fill>
    <fill>
      <patternFill patternType="solid">
        <fgColor theme="4" tint="0.39997558519241921"/>
        <bgColor rgb="FFA8BCF6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249977111117893"/>
        <bgColor rgb="FFA8BCF6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A8BCF6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215F75"/>
        <bgColor rgb="FFEFF6EA"/>
      </patternFill>
    </fill>
    <fill>
      <patternFill patternType="solid">
        <fgColor rgb="FF9751C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15F75"/>
        <bgColor rgb="FFA9D18E"/>
      </patternFill>
    </fill>
    <fill>
      <patternFill patternType="solid">
        <fgColor rgb="FF319DA5"/>
        <bgColor rgb="FFEFF6EA"/>
      </patternFill>
    </fill>
    <fill>
      <patternFill patternType="solid">
        <fgColor rgb="FFCAA5E5"/>
        <bgColor indexed="64"/>
      </patternFill>
    </fill>
    <fill>
      <patternFill patternType="solid">
        <fgColor rgb="FFCAA5E5"/>
        <bgColor rgb="FFEFF6EA"/>
      </patternFill>
    </fill>
    <fill>
      <patternFill patternType="solid">
        <fgColor rgb="FFD9D9D9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9" tint="0.39997558519241921"/>
        <bgColor rgb="FFEFF6EA"/>
      </patternFill>
    </fill>
    <fill>
      <patternFill patternType="solid">
        <fgColor theme="5" tint="-0.249977111117893"/>
        <bgColor rgb="FFEFF6EA"/>
      </patternFill>
    </fill>
    <fill>
      <patternFill patternType="solid">
        <fgColor theme="7" tint="-0.249977111117893"/>
        <bgColor rgb="FFEFF6EA"/>
      </patternFill>
    </fill>
    <fill>
      <patternFill patternType="solid">
        <fgColor rgb="FF9751CB"/>
        <bgColor rgb="FFEFF6EA"/>
      </patternFill>
    </fill>
  </fills>
  <borders count="58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medium">
        <color auto="1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12">
    <xf numFmtId="0" fontId="0" fillId="0" borderId="0"/>
    <xf numFmtId="0" fontId="15" fillId="0" borderId="0" applyNumberFormat="0" applyFill="0" applyBorder="0" applyAlignment="0" applyProtection="0"/>
    <xf numFmtId="0" fontId="7" fillId="0" borderId="0"/>
    <xf numFmtId="0" fontId="6" fillId="0" borderId="0"/>
    <xf numFmtId="44" fontId="6" fillId="0" borderId="0" applyFont="0" applyFill="0" applyBorder="0" applyAlignment="0" applyProtection="0"/>
    <xf numFmtId="0" fontId="5" fillId="0" borderId="0"/>
    <xf numFmtId="0" fontId="4" fillId="0" borderId="0"/>
    <xf numFmtId="0" fontId="3" fillId="0" borderId="0"/>
    <xf numFmtId="0" fontId="2" fillId="0" borderId="0"/>
    <xf numFmtId="9" fontId="32" fillId="0" borderId="0" applyFont="0" applyFill="0" applyBorder="0" applyAlignment="0" applyProtection="0"/>
    <xf numFmtId="0" fontId="34" fillId="0" borderId="0"/>
    <xf numFmtId="0" fontId="1" fillId="0" borderId="0"/>
  </cellStyleXfs>
  <cellXfs count="394">
    <xf numFmtId="0" fontId="0" fillId="0" borderId="0" xfId="0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21" xfId="0" applyBorder="1"/>
    <xf numFmtId="0" fontId="12" fillId="15" borderId="7" xfId="0" applyFont="1" applyFill="1" applyBorder="1" applyAlignment="1">
      <alignment horizontal="center" vertical="center"/>
    </xf>
    <xf numFmtId="0" fontId="12" fillId="15" borderId="27" xfId="0" applyFont="1" applyFill="1" applyBorder="1" applyAlignment="1">
      <alignment horizontal="left" vertical="center"/>
    </xf>
    <xf numFmtId="0" fontId="12" fillId="15" borderId="27" xfId="0" applyFont="1" applyFill="1" applyBorder="1" applyAlignment="1">
      <alignment horizontal="right" vertical="center"/>
    </xf>
    <xf numFmtId="14" fontId="12" fillId="15" borderId="3" xfId="0" applyNumberFormat="1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/>
    </xf>
    <xf numFmtId="0" fontId="11" fillId="18" borderId="7" xfId="0" applyFont="1" applyFill="1" applyBorder="1" applyAlignment="1">
      <alignment horizontal="center"/>
    </xf>
    <xf numFmtId="0" fontId="13" fillId="14" borderId="3" xfId="0" applyFont="1" applyFill="1" applyBorder="1" applyAlignment="1">
      <alignment horizontal="left" vertical="center"/>
    </xf>
    <xf numFmtId="0" fontId="12" fillId="14" borderId="3" xfId="0" applyFont="1" applyFill="1" applyBorder="1" applyAlignment="1">
      <alignment horizontal="left" vertical="center"/>
    </xf>
    <xf numFmtId="0" fontId="13" fillId="14" borderId="3" xfId="0" applyFont="1" applyFill="1" applyBorder="1" applyAlignment="1">
      <alignment horizontal="center" vertical="center"/>
    </xf>
    <xf numFmtId="0" fontId="12" fillId="14" borderId="7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12" fillId="14" borderId="7" xfId="0" applyFont="1" applyFill="1" applyBorder="1" applyAlignment="1">
      <alignment horizontal="left" vertical="center"/>
    </xf>
    <xf numFmtId="0" fontId="12" fillId="14" borderId="27" xfId="0" applyFont="1" applyFill="1" applyBorder="1" applyAlignment="1">
      <alignment horizontal="left" vertical="center"/>
    </xf>
    <xf numFmtId="0" fontId="12" fillId="14" borderId="3" xfId="0" applyFont="1" applyFill="1" applyBorder="1" applyAlignment="1">
      <alignment horizontal="right" vertical="center"/>
    </xf>
    <xf numFmtId="164" fontId="12" fillId="14" borderId="3" xfId="0" applyNumberFormat="1" applyFont="1" applyFill="1" applyBorder="1" applyAlignment="1">
      <alignment horizontal="right" vertical="center"/>
    </xf>
    <xf numFmtId="0" fontId="12" fillId="14" borderId="27" xfId="0" applyFont="1" applyFill="1" applyBorder="1" applyAlignment="1">
      <alignment horizontal="right" vertical="center"/>
    </xf>
    <xf numFmtId="14" fontId="12" fillId="14" borderId="7" xfId="0" applyNumberFormat="1" applyFont="1" applyFill="1" applyBorder="1" applyAlignment="1">
      <alignment horizontal="center" vertical="center"/>
    </xf>
    <xf numFmtId="14" fontId="12" fillId="14" borderId="3" xfId="0" applyNumberFormat="1" applyFont="1" applyFill="1" applyBorder="1" applyAlignment="1">
      <alignment horizontal="center" vertical="center"/>
    </xf>
    <xf numFmtId="0" fontId="12" fillId="14" borderId="6" xfId="0" applyFont="1" applyFill="1" applyBorder="1" applyAlignment="1">
      <alignment horizontal="left" vertical="center"/>
    </xf>
    <xf numFmtId="49" fontId="12" fillId="14" borderId="3" xfId="0" applyNumberFormat="1" applyFont="1" applyFill="1" applyBorder="1" applyAlignment="1">
      <alignment horizontal="center" vertical="center"/>
    </xf>
    <xf numFmtId="0" fontId="13" fillId="14" borderId="7" xfId="0" applyFont="1" applyFill="1" applyBorder="1" applyAlignment="1">
      <alignment horizontal="center" vertical="center"/>
    </xf>
    <xf numFmtId="0" fontId="13" fillId="15" borderId="7" xfId="0" applyFont="1" applyFill="1" applyBorder="1" applyAlignment="1">
      <alignment horizontal="center" vertical="center"/>
    </xf>
    <xf numFmtId="0" fontId="13" fillId="14" borderId="6" xfId="0" applyFont="1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49" fontId="0" fillId="0" borderId="0" xfId="0" applyNumberFormat="1"/>
    <xf numFmtId="0" fontId="23" fillId="21" borderId="3" xfId="0" applyFont="1" applyFill="1" applyBorder="1" applyAlignment="1">
      <alignment horizontal="center" vertical="center"/>
    </xf>
    <xf numFmtId="0" fontId="23" fillId="21" borderId="3" xfId="0" applyFont="1" applyFill="1" applyBorder="1" applyAlignment="1">
      <alignment horizontal="left" vertical="center"/>
    </xf>
    <xf numFmtId="0" fontId="22" fillId="21" borderId="3" xfId="0" applyFont="1" applyFill="1" applyBorder="1" applyAlignment="1">
      <alignment horizontal="left" vertical="center"/>
    </xf>
    <xf numFmtId="0" fontId="22" fillId="21" borderId="7" xfId="0" applyFont="1" applyFill="1" applyBorder="1" applyAlignment="1">
      <alignment horizontal="center" vertical="center"/>
    </xf>
    <xf numFmtId="14" fontId="23" fillId="21" borderId="7" xfId="0" applyNumberFormat="1" applyFont="1" applyFill="1" applyBorder="1" applyAlignment="1">
      <alignment horizontal="center" vertical="center"/>
    </xf>
    <xf numFmtId="14" fontId="23" fillId="21" borderId="3" xfId="0" applyNumberFormat="1" applyFont="1" applyFill="1" applyBorder="1" applyAlignment="1">
      <alignment horizontal="center" vertical="center"/>
    </xf>
    <xf numFmtId="0" fontId="23" fillId="21" borderId="6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right" vertical="center"/>
    </xf>
    <xf numFmtId="0" fontId="13" fillId="15" borderId="3" xfId="0" applyFont="1" applyFill="1" applyBorder="1" applyAlignment="1">
      <alignment vertical="center"/>
    </xf>
    <xf numFmtId="0" fontId="11" fillId="0" borderId="0" xfId="0" applyFont="1"/>
    <xf numFmtId="0" fontId="13" fillId="0" borderId="0" xfId="0" applyFont="1"/>
    <xf numFmtId="0" fontId="18" fillId="0" borderId="0" xfId="0" applyFont="1"/>
    <xf numFmtId="0" fontId="23" fillId="21" borderId="6" xfId="0" applyFont="1" applyFill="1" applyBorder="1" applyAlignment="1">
      <alignment horizontal="left" vertical="center"/>
    </xf>
    <xf numFmtId="0" fontId="23" fillId="21" borderId="6" xfId="0" applyFont="1" applyFill="1" applyBorder="1" applyAlignment="1">
      <alignment horizontal="right" vertical="center"/>
    </xf>
    <xf numFmtId="0" fontId="21" fillId="23" borderId="3" xfId="0" applyFont="1" applyFill="1" applyBorder="1" applyAlignment="1">
      <alignment horizontal="left" vertical="center"/>
    </xf>
    <xf numFmtId="0" fontId="9" fillId="5" borderId="50" xfId="0" applyFont="1" applyFill="1" applyBorder="1" applyAlignment="1">
      <alignment horizontal="center"/>
    </xf>
    <xf numFmtId="0" fontId="13" fillId="14" borderId="16" xfId="0" applyFont="1" applyFill="1" applyBorder="1" applyAlignment="1">
      <alignment horizontal="center" vertical="center"/>
    </xf>
    <xf numFmtId="0" fontId="22" fillId="21" borderId="16" xfId="0" applyFont="1" applyFill="1" applyBorder="1" applyAlignment="1">
      <alignment horizontal="center" vertical="center"/>
    </xf>
    <xf numFmtId="0" fontId="21" fillId="23" borderId="16" xfId="0" applyFont="1" applyFill="1" applyBorder="1" applyAlignment="1">
      <alignment horizontal="center" vertical="center"/>
    </xf>
    <xf numFmtId="0" fontId="21" fillId="23" borderId="7" xfId="0" applyFont="1" applyFill="1" applyBorder="1" applyAlignment="1">
      <alignment horizontal="left" vertical="center"/>
    </xf>
    <xf numFmtId="49" fontId="13" fillId="15" borderId="27" xfId="0" applyNumberFormat="1" applyFont="1" applyFill="1" applyBorder="1" applyAlignment="1">
      <alignment horizontal="center" vertical="center"/>
    </xf>
    <xf numFmtId="0" fontId="23" fillId="21" borderId="16" xfId="0" applyFont="1" applyFill="1" applyBorder="1" applyAlignment="1">
      <alignment horizontal="center" vertical="center"/>
    </xf>
    <xf numFmtId="0" fontId="23" fillId="21" borderId="27" xfId="0" applyFont="1" applyFill="1" applyBorder="1" applyAlignment="1">
      <alignment horizontal="left" vertical="center"/>
    </xf>
    <xf numFmtId="0" fontId="23" fillId="21" borderId="27" xfId="0" applyFont="1" applyFill="1" applyBorder="1" applyAlignment="1">
      <alignment horizontal="right" vertical="center"/>
    </xf>
    <xf numFmtId="0" fontId="22" fillId="21" borderId="27" xfId="0" applyFont="1" applyFill="1" applyBorder="1" applyAlignment="1">
      <alignment horizontal="center" vertical="center"/>
    </xf>
    <xf numFmtId="0" fontId="23" fillId="21" borderId="27" xfId="0" applyFont="1" applyFill="1" applyBorder="1" applyAlignment="1">
      <alignment horizontal="center" vertical="center"/>
    </xf>
    <xf numFmtId="0" fontId="21" fillId="23" borderId="27" xfId="0" applyFont="1" applyFill="1" applyBorder="1" applyAlignment="1">
      <alignment horizontal="center" vertical="center"/>
    </xf>
    <xf numFmtId="0" fontId="13" fillId="14" borderId="27" xfId="0" applyFont="1" applyFill="1" applyBorder="1" applyAlignment="1">
      <alignment horizontal="center" vertical="center"/>
    </xf>
    <xf numFmtId="49" fontId="18" fillId="19" borderId="16" xfId="0" applyNumberFormat="1" applyFont="1" applyFill="1" applyBorder="1"/>
    <xf numFmtId="0" fontId="0" fillId="9" borderId="32" xfId="0" applyFill="1" applyBorder="1" applyAlignment="1">
      <alignment horizontal="center" vertical="center"/>
    </xf>
    <xf numFmtId="49" fontId="21" fillId="22" borderId="16" xfId="0" applyNumberFormat="1" applyFont="1" applyFill="1" applyBorder="1"/>
    <xf numFmtId="0" fontId="20" fillId="23" borderId="3" xfId="0" applyFont="1" applyFill="1" applyBorder="1" applyAlignment="1">
      <alignment horizontal="center" vertical="center"/>
    </xf>
    <xf numFmtId="0" fontId="20" fillId="23" borderId="27" xfId="0" applyFont="1" applyFill="1" applyBorder="1" applyAlignment="1">
      <alignment horizontal="left" vertical="center"/>
    </xf>
    <xf numFmtId="0" fontId="21" fillId="23" borderId="3" xfId="0" applyFont="1" applyFill="1" applyBorder="1" applyAlignment="1">
      <alignment horizontal="right" vertical="center"/>
    </xf>
    <xf numFmtId="164" fontId="21" fillId="23" borderId="3" xfId="0" applyNumberFormat="1" applyFont="1" applyFill="1" applyBorder="1" applyAlignment="1">
      <alignment horizontal="right" vertical="center"/>
    </xf>
    <xf numFmtId="0" fontId="20" fillId="23" borderId="27" xfId="0" applyFont="1" applyFill="1" applyBorder="1" applyAlignment="1">
      <alignment horizontal="right" vertical="center"/>
    </xf>
    <xf numFmtId="0" fontId="21" fillId="23" borderId="8" xfId="0" applyFont="1" applyFill="1" applyBorder="1" applyAlignment="1">
      <alignment horizontal="center" vertical="center"/>
    </xf>
    <xf numFmtId="0" fontId="13" fillId="19" borderId="7" xfId="0" applyFont="1" applyFill="1" applyBorder="1" applyAlignment="1">
      <alignment horizontal="center" vertical="center"/>
    </xf>
    <xf numFmtId="0" fontId="22" fillId="17" borderId="7" xfId="0" applyFont="1" applyFill="1" applyBorder="1" applyAlignment="1">
      <alignment horizontal="center" vertical="center"/>
    </xf>
    <xf numFmtId="0" fontId="13" fillId="16" borderId="7" xfId="0" applyFont="1" applyFill="1" applyBorder="1" applyAlignment="1">
      <alignment horizontal="center" vertical="center"/>
    </xf>
    <xf numFmtId="0" fontId="9" fillId="13" borderId="50" xfId="0" applyFont="1" applyFill="1" applyBorder="1" applyAlignment="1">
      <alignment horizontal="center"/>
    </xf>
    <xf numFmtId="0" fontId="21" fillId="13" borderId="3" xfId="0" applyFont="1" applyFill="1" applyBorder="1" applyAlignment="1">
      <alignment horizontal="right" vertical="center"/>
    </xf>
    <xf numFmtId="0" fontId="13" fillId="13" borderId="3" xfId="0" applyFont="1" applyFill="1" applyBorder="1" applyAlignment="1">
      <alignment horizontal="center" vertical="center"/>
    </xf>
    <xf numFmtId="0" fontId="13" fillId="15" borderId="16" xfId="0" applyFont="1" applyFill="1" applyBorder="1" applyAlignment="1">
      <alignment horizontal="center" vertical="center"/>
    </xf>
    <xf numFmtId="0" fontId="13" fillId="15" borderId="27" xfId="0" applyFont="1" applyFill="1" applyBorder="1" applyAlignment="1">
      <alignment horizontal="center" vertical="center"/>
    </xf>
    <xf numFmtId="0" fontId="14" fillId="32" borderId="27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left" vertical="center"/>
    </xf>
    <xf numFmtId="0" fontId="9" fillId="5" borderId="50" xfId="0" applyFont="1" applyFill="1" applyBorder="1" applyAlignment="1">
      <alignment horizontal="center" vertical="center"/>
    </xf>
    <xf numFmtId="4" fontId="9" fillId="5" borderId="50" xfId="0" applyNumberFormat="1" applyFont="1" applyFill="1" applyBorder="1" applyAlignment="1">
      <alignment horizontal="center" vertical="center"/>
    </xf>
    <xf numFmtId="0" fontId="9" fillId="5" borderId="50" xfId="0" applyFont="1" applyFill="1" applyBorder="1" applyAlignment="1">
      <alignment horizontal="left" vertical="center"/>
    </xf>
    <xf numFmtId="3" fontId="9" fillId="5" borderId="50" xfId="0" applyNumberFormat="1" applyFont="1" applyFill="1" applyBorder="1" applyAlignment="1">
      <alignment horizontal="center" vertical="center"/>
    </xf>
    <xf numFmtId="3" fontId="13" fillId="14" borderId="3" xfId="0" applyNumberFormat="1" applyFont="1" applyFill="1" applyBorder="1" applyAlignment="1">
      <alignment horizontal="center" vertical="center"/>
    </xf>
    <xf numFmtId="3" fontId="20" fillId="23" borderId="3" xfId="0" applyNumberFormat="1" applyFont="1" applyFill="1" applyBorder="1" applyAlignment="1">
      <alignment horizontal="center" vertical="center"/>
    </xf>
    <xf numFmtId="3" fontId="12" fillId="14" borderId="3" xfId="0" applyNumberFormat="1" applyFont="1" applyFill="1" applyBorder="1" applyAlignment="1">
      <alignment horizontal="center" vertical="center"/>
    </xf>
    <xf numFmtId="0" fontId="0" fillId="5" borderId="49" xfId="0" applyFill="1" applyBorder="1" applyAlignment="1">
      <alignment horizontal="center"/>
    </xf>
    <xf numFmtId="0" fontId="9" fillId="5" borderId="48" xfId="0" applyFont="1" applyFill="1" applyBorder="1" applyAlignment="1">
      <alignment horizontal="center"/>
    </xf>
    <xf numFmtId="0" fontId="13" fillId="15" borderId="4" xfId="0" applyFont="1" applyFill="1" applyBorder="1" applyAlignment="1">
      <alignment horizontal="center" vertical="center"/>
    </xf>
    <xf numFmtId="0" fontId="13" fillId="14" borderId="4" xfId="0" applyFont="1" applyFill="1" applyBorder="1" applyAlignment="1">
      <alignment horizontal="center" vertical="center"/>
    </xf>
    <xf numFmtId="0" fontId="22" fillId="21" borderId="4" xfId="0" applyFont="1" applyFill="1" applyBorder="1" applyAlignment="1">
      <alignment horizontal="center" vertical="center"/>
    </xf>
    <xf numFmtId="3" fontId="23" fillId="21" borderId="3" xfId="0" applyNumberFormat="1" applyFont="1" applyFill="1" applyBorder="1" applyAlignment="1">
      <alignment horizontal="center" vertical="center"/>
    </xf>
    <xf numFmtId="165" fontId="0" fillId="0" borderId="0" xfId="0" applyNumberFormat="1"/>
    <xf numFmtId="164" fontId="13" fillId="14" borderId="6" xfId="0" applyNumberFormat="1" applyFont="1" applyFill="1" applyBorder="1" applyAlignment="1">
      <alignment horizontal="right" vertical="center"/>
    </xf>
    <xf numFmtId="3" fontId="13" fillId="15" borderId="3" xfId="0" applyNumberFormat="1" applyFont="1" applyFill="1" applyBorder="1" applyAlignment="1">
      <alignment horizontal="center" vertical="center"/>
    </xf>
    <xf numFmtId="0" fontId="21" fillId="23" borderId="6" xfId="0" applyFont="1" applyFill="1" applyBorder="1" applyAlignment="1">
      <alignment horizontal="left" vertical="center"/>
    </xf>
    <xf numFmtId="0" fontId="23" fillId="21" borderId="16" xfId="0" applyFont="1" applyFill="1" applyBorder="1" applyAlignment="1">
      <alignment horizontal="left" vertical="center"/>
    </xf>
    <xf numFmtId="164" fontId="13" fillId="15" borderId="6" xfId="0" applyNumberFormat="1" applyFont="1" applyFill="1" applyBorder="1" applyAlignment="1">
      <alignment horizontal="right" vertical="center"/>
    </xf>
    <xf numFmtId="164" fontId="22" fillId="21" borderId="6" xfId="0" applyNumberFormat="1" applyFont="1" applyFill="1" applyBorder="1" applyAlignment="1">
      <alignment horizontal="right" vertical="center"/>
    </xf>
    <xf numFmtId="0" fontId="0" fillId="0" borderId="0" xfId="0" applyAlignment="1">
      <alignment vertical="center" wrapText="1"/>
    </xf>
    <xf numFmtId="3" fontId="24" fillId="28" borderId="47" xfId="0" applyNumberFormat="1" applyFont="1" applyFill="1" applyBorder="1" applyAlignment="1">
      <alignment horizontal="center" vertical="center"/>
    </xf>
    <xf numFmtId="165" fontId="9" fillId="5" borderId="50" xfId="0" applyNumberFormat="1" applyFont="1" applyFill="1" applyBorder="1" applyAlignment="1">
      <alignment horizontal="center" vertical="center"/>
    </xf>
    <xf numFmtId="165" fontId="13" fillId="14" borderId="3" xfId="0" applyNumberFormat="1" applyFont="1" applyFill="1" applyBorder="1" applyAlignment="1">
      <alignment horizontal="center" vertical="center"/>
    </xf>
    <xf numFmtId="0" fontId="9" fillId="2" borderId="44" xfId="0" applyFont="1" applyFill="1" applyBorder="1" applyAlignment="1">
      <alignment horizontal="center"/>
    </xf>
    <xf numFmtId="1" fontId="12" fillId="14" borderId="24" xfId="0" applyNumberFormat="1" applyFont="1" applyFill="1" applyBorder="1" applyAlignment="1">
      <alignment horizontal="left" vertical="center"/>
    </xf>
    <xf numFmtId="1" fontId="23" fillId="21" borderId="24" xfId="0" applyNumberFormat="1" applyFont="1" applyFill="1" applyBorder="1" applyAlignment="1">
      <alignment horizontal="left" vertical="center"/>
    </xf>
    <xf numFmtId="0" fontId="14" fillId="25" borderId="27" xfId="0" applyFont="1" applyFill="1" applyBorder="1" applyAlignment="1">
      <alignment horizontal="center"/>
    </xf>
    <xf numFmtId="0" fontId="21" fillId="23" borderId="7" xfId="0" applyFont="1" applyFill="1" applyBorder="1" applyAlignment="1">
      <alignment horizontal="center" vertical="center"/>
    </xf>
    <xf numFmtId="49" fontId="21" fillId="23" borderId="27" xfId="0" applyNumberFormat="1" applyFont="1" applyFill="1" applyBorder="1" applyAlignment="1">
      <alignment horizontal="center" vertical="center"/>
    </xf>
    <xf numFmtId="1" fontId="21" fillId="23" borderId="24" xfId="0" applyNumberFormat="1" applyFont="1" applyFill="1" applyBorder="1" applyAlignment="1">
      <alignment horizontal="left" vertical="center"/>
    </xf>
    <xf numFmtId="0" fontId="21" fillId="23" borderId="3" xfId="0" applyFont="1" applyFill="1" applyBorder="1" applyAlignment="1">
      <alignment horizontal="center" vertical="center"/>
    </xf>
    <xf numFmtId="9" fontId="21" fillId="23" borderId="3" xfId="0" applyNumberFormat="1" applyFont="1" applyFill="1" applyBorder="1" applyAlignment="1">
      <alignment horizontal="center" vertical="center"/>
    </xf>
    <xf numFmtId="0" fontId="21" fillId="23" borderId="4" xfId="0" applyFont="1" applyFill="1" applyBorder="1" applyAlignment="1">
      <alignment horizontal="center" vertical="center"/>
    </xf>
    <xf numFmtId="3" fontId="20" fillId="23" borderId="5" xfId="0" applyNumberFormat="1" applyFont="1" applyFill="1" applyBorder="1" applyAlignment="1">
      <alignment horizontal="center" vertical="center"/>
    </xf>
    <xf numFmtId="165" fontId="20" fillId="23" borderId="3" xfId="0" applyNumberFormat="1" applyFont="1" applyFill="1" applyBorder="1" applyAlignment="1">
      <alignment horizontal="center" vertical="center"/>
    </xf>
    <xf numFmtId="14" fontId="20" fillId="23" borderId="7" xfId="0" applyNumberFormat="1" applyFont="1" applyFill="1" applyBorder="1" applyAlignment="1">
      <alignment horizontal="center" vertical="center"/>
    </xf>
    <xf numFmtId="0" fontId="21" fillId="13" borderId="8" xfId="0" applyFont="1" applyFill="1" applyBorder="1" applyAlignment="1">
      <alignment horizontal="center"/>
    </xf>
    <xf numFmtId="0" fontId="13" fillId="11" borderId="7" xfId="0" applyFont="1" applyFill="1" applyBorder="1" applyAlignment="1">
      <alignment horizontal="center" vertical="center"/>
    </xf>
    <xf numFmtId="14" fontId="0" fillId="0" borderId="0" xfId="0" applyNumberFormat="1"/>
    <xf numFmtId="0" fontId="13" fillId="36" borderId="49" xfId="0" applyFont="1" applyFill="1" applyBorder="1"/>
    <xf numFmtId="0" fontId="13" fillId="36" borderId="49" xfId="0" applyFont="1" applyFill="1" applyBorder="1" applyAlignment="1">
      <alignment horizontal="center"/>
    </xf>
    <xf numFmtId="3" fontId="13" fillId="37" borderId="30" xfId="0" quotePrefix="1" applyNumberFormat="1" applyFont="1" applyFill="1" applyBorder="1" applyAlignment="1">
      <alignment horizontal="center" vertical="center" wrapText="1"/>
    </xf>
    <xf numFmtId="0" fontId="27" fillId="0" borderId="0" xfId="0" applyFont="1"/>
    <xf numFmtId="0" fontId="28" fillId="0" borderId="0" xfId="0" applyFont="1"/>
    <xf numFmtId="0" fontId="28" fillId="25" borderId="27" xfId="0" applyFont="1" applyFill="1" applyBorder="1" applyAlignment="1">
      <alignment horizontal="center"/>
    </xf>
    <xf numFmtId="3" fontId="28" fillId="12" borderId="5" xfId="0" applyNumberFormat="1" applyFont="1" applyFill="1" applyBorder="1" applyAlignment="1">
      <alignment horizontal="center"/>
    </xf>
    <xf numFmtId="0" fontId="12" fillId="14" borderId="8" xfId="0" applyFont="1" applyFill="1" applyBorder="1" applyAlignment="1">
      <alignment horizontal="center" vertical="center"/>
    </xf>
    <xf numFmtId="0" fontId="24" fillId="34" borderId="46" xfId="0" applyFont="1" applyFill="1" applyBorder="1" applyAlignment="1">
      <alignment horizontal="center" vertical="center"/>
    </xf>
    <xf numFmtId="1" fontId="13" fillId="15" borderId="24" xfId="0" applyNumberFormat="1" applyFont="1" applyFill="1" applyBorder="1" applyAlignment="1">
      <alignment horizontal="left" vertical="center"/>
    </xf>
    <xf numFmtId="0" fontId="13" fillId="15" borderId="7" xfId="0" applyFont="1" applyFill="1" applyBorder="1" applyAlignment="1">
      <alignment horizontal="left" vertical="center"/>
    </xf>
    <xf numFmtId="0" fontId="13" fillId="15" borderId="6" xfId="0" applyFont="1" applyFill="1" applyBorder="1" applyAlignment="1">
      <alignment horizontal="left" vertical="center"/>
    </xf>
    <xf numFmtId="0" fontId="13" fillId="15" borderId="27" xfId="0" applyFont="1" applyFill="1" applyBorder="1" applyAlignment="1">
      <alignment horizontal="left" vertical="center"/>
    </xf>
    <xf numFmtId="9" fontId="13" fillId="15" borderId="3" xfId="0" applyNumberFormat="1" applyFont="1" applyFill="1" applyBorder="1" applyAlignment="1">
      <alignment horizontal="center" vertical="center"/>
    </xf>
    <xf numFmtId="164" fontId="13" fillId="15" borderId="3" xfId="0" applyNumberFormat="1" applyFont="1" applyFill="1" applyBorder="1" applyAlignment="1">
      <alignment horizontal="right" vertical="center"/>
    </xf>
    <xf numFmtId="0" fontId="13" fillId="15" borderId="27" xfId="0" applyFont="1" applyFill="1" applyBorder="1" applyAlignment="1">
      <alignment horizontal="right" vertical="center"/>
    </xf>
    <xf numFmtId="4" fontId="13" fillId="15" borderId="3" xfId="0" applyNumberFormat="1" applyFont="1" applyFill="1" applyBorder="1" applyAlignment="1">
      <alignment horizontal="center" vertical="center"/>
    </xf>
    <xf numFmtId="165" fontId="13" fillId="15" borderId="3" xfId="0" applyNumberFormat="1" applyFont="1" applyFill="1" applyBorder="1" applyAlignment="1">
      <alignment horizontal="center" vertical="center"/>
    </xf>
    <xf numFmtId="14" fontId="13" fillId="15" borderId="3" xfId="0" applyNumberFormat="1" applyFont="1" applyFill="1" applyBorder="1" applyAlignment="1">
      <alignment horizontal="center" vertical="center"/>
    </xf>
    <xf numFmtId="165" fontId="13" fillId="15" borderId="6" xfId="0" applyNumberFormat="1" applyFont="1" applyFill="1" applyBorder="1" applyAlignment="1">
      <alignment horizontal="center" vertical="center"/>
    </xf>
    <xf numFmtId="14" fontId="13" fillId="15" borderId="7" xfId="0" applyNumberFormat="1" applyFont="1" applyFill="1" applyBorder="1" applyAlignment="1">
      <alignment horizontal="center" vertical="center"/>
    </xf>
    <xf numFmtId="14" fontId="13" fillId="15" borderId="3" xfId="0" quotePrefix="1" applyNumberFormat="1" applyFont="1" applyFill="1" applyBorder="1" applyAlignment="1">
      <alignment horizontal="center" vertical="center"/>
    </xf>
    <xf numFmtId="3" fontId="13" fillId="15" borderId="6" xfId="0" quotePrefix="1" applyNumberFormat="1" applyFont="1" applyFill="1" applyBorder="1" applyAlignment="1">
      <alignment horizontal="center" vertical="center"/>
    </xf>
    <xf numFmtId="3" fontId="13" fillId="15" borderId="5" xfId="0" applyNumberFormat="1" applyFont="1" applyFill="1" applyBorder="1" applyAlignment="1">
      <alignment horizontal="center" vertical="center"/>
    </xf>
    <xf numFmtId="0" fontId="13" fillId="16" borderId="16" xfId="0" applyFont="1" applyFill="1" applyBorder="1"/>
    <xf numFmtId="0" fontId="13" fillId="15" borderId="8" xfId="0" applyFont="1" applyFill="1" applyBorder="1" applyAlignment="1">
      <alignment horizontal="center" vertical="center"/>
    </xf>
    <xf numFmtId="0" fontId="11" fillId="13" borderId="27" xfId="0" applyFont="1" applyFill="1" applyBorder="1" applyAlignment="1">
      <alignment horizontal="center" vertical="center"/>
    </xf>
    <xf numFmtId="0" fontId="9" fillId="2" borderId="49" xfId="0" applyFont="1" applyFill="1" applyBorder="1" applyAlignment="1">
      <alignment horizontal="center"/>
    </xf>
    <xf numFmtId="0" fontId="14" fillId="25" borderId="24" xfId="0" applyFont="1" applyFill="1" applyBorder="1" applyAlignment="1">
      <alignment horizontal="center"/>
    </xf>
    <xf numFmtId="1" fontId="0" fillId="0" borderId="0" xfId="0" applyNumberFormat="1"/>
    <xf numFmtId="0" fontId="21" fillId="16" borderId="20" xfId="0" applyFont="1" applyFill="1" applyBorder="1" applyAlignment="1">
      <alignment horizontal="center" vertical="center"/>
    </xf>
    <xf numFmtId="0" fontId="13" fillId="15" borderId="19" xfId="0" applyFont="1" applyFill="1" applyBorder="1" applyAlignment="1">
      <alignment horizontal="center" vertical="center"/>
    </xf>
    <xf numFmtId="0" fontId="13" fillId="15" borderId="23" xfId="0" applyFont="1" applyFill="1" applyBorder="1" applyAlignment="1">
      <alignment horizontal="center" vertical="center"/>
    </xf>
    <xf numFmtId="164" fontId="23" fillId="21" borderId="6" xfId="0" applyNumberFormat="1" applyFont="1" applyFill="1" applyBorder="1" applyAlignment="1">
      <alignment horizontal="right" vertical="center"/>
    </xf>
    <xf numFmtId="0" fontId="13" fillId="31" borderId="20" xfId="0" applyFont="1" applyFill="1" applyBorder="1" applyAlignment="1">
      <alignment horizontal="center"/>
    </xf>
    <xf numFmtId="0" fontId="12" fillId="15" borderId="20" xfId="0" applyFont="1" applyFill="1" applyBorder="1" applyAlignment="1">
      <alignment horizontal="center" vertical="center"/>
    </xf>
    <xf numFmtId="0" fontId="20" fillId="23" borderId="7" xfId="0" applyFont="1" applyFill="1" applyBorder="1" applyAlignment="1">
      <alignment horizontal="center" vertical="center"/>
    </xf>
    <xf numFmtId="4" fontId="20" fillId="23" borderId="3" xfId="0" applyNumberFormat="1" applyFont="1" applyFill="1" applyBorder="1" applyAlignment="1">
      <alignment horizontal="center" vertical="center"/>
    </xf>
    <xf numFmtId="165" fontId="20" fillId="23" borderId="6" xfId="0" applyNumberFormat="1" applyFont="1" applyFill="1" applyBorder="1" applyAlignment="1">
      <alignment horizontal="center" vertical="center"/>
    </xf>
    <xf numFmtId="14" fontId="13" fillId="36" borderId="49" xfId="0" applyNumberFormat="1" applyFont="1" applyFill="1" applyBorder="1"/>
    <xf numFmtId="0" fontId="9" fillId="2" borderId="49" xfId="0" applyFont="1" applyFill="1" applyBorder="1"/>
    <xf numFmtId="3" fontId="21" fillId="12" borderId="5" xfId="0" applyNumberFormat="1" applyFont="1" applyFill="1" applyBorder="1" applyAlignment="1">
      <alignment horizontal="center"/>
    </xf>
    <xf numFmtId="0" fontId="13" fillId="13" borderId="3" xfId="0" applyFont="1" applyFill="1" applyBorder="1" applyAlignment="1">
      <alignment horizontal="center" vertical="center" wrapText="1"/>
    </xf>
    <xf numFmtId="3" fontId="13" fillId="15" borderId="3" xfId="0" applyNumberFormat="1" applyFont="1" applyFill="1" applyBorder="1" applyAlignment="1">
      <alignment horizontal="center" vertical="center" wrapText="1"/>
    </xf>
    <xf numFmtId="0" fontId="0" fillId="8" borderId="41" xfId="0" applyFill="1" applyBorder="1" applyAlignment="1">
      <alignment horizontal="center" vertical="center"/>
    </xf>
    <xf numFmtId="0" fontId="0" fillId="8" borderId="41" xfId="0" applyFill="1" applyBorder="1" applyAlignment="1">
      <alignment vertical="center"/>
    </xf>
    <xf numFmtId="0" fontId="0" fillId="8" borderId="29" xfId="0" applyFill="1" applyBorder="1" applyAlignment="1">
      <alignment horizontal="center" vertical="center"/>
    </xf>
    <xf numFmtId="0" fontId="0" fillId="8" borderId="29" xfId="0" applyFill="1" applyBorder="1" applyAlignment="1">
      <alignment horizontal="center" vertical="center" textRotation="90" wrapText="1"/>
    </xf>
    <xf numFmtId="0" fontId="0" fillId="7" borderId="22" xfId="0" applyFill="1" applyBorder="1" applyAlignment="1">
      <alignment horizontal="center" vertical="center" wrapText="1"/>
    </xf>
    <xf numFmtId="0" fontId="11" fillId="7" borderId="22" xfId="0" applyFont="1" applyFill="1" applyBorder="1" applyAlignment="1">
      <alignment horizontal="center" vertical="center" wrapText="1"/>
    </xf>
    <xf numFmtId="0" fontId="0" fillId="8" borderId="40" xfId="0" applyFill="1" applyBorder="1" applyAlignment="1">
      <alignment horizontal="center" vertical="center"/>
    </xf>
    <xf numFmtId="0" fontId="0" fillId="8" borderId="29" xfId="0" applyFill="1" applyBorder="1" applyAlignment="1">
      <alignment horizontal="center" vertical="center" wrapText="1"/>
    </xf>
    <xf numFmtId="0" fontId="0" fillId="8" borderId="36" xfId="0" applyFill="1" applyBorder="1" applyAlignment="1">
      <alignment horizontal="center" vertical="center" textRotation="90" wrapText="1"/>
    </xf>
    <xf numFmtId="0" fontId="0" fillId="7" borderId="0" xfId="0" applyFill="1"/>
    <xf numFmtId="0" fontId="0" fillId="7" borderId="21" xfId="0" applyFill="1" applyBorder="1" applyAlignment="1">
      <alignment wrapText="1"/>
    </xf>
    <xf numFmtId="0" fontId="0" fillId="9" borderId="22" xfId="0" applyFill="1" applyBorder="1" applyAlignment="1">
      <alignment horizontal="center" vertical="center" textRotation="90" wrapText="1"/>
    </xf>
    <xf numFmtId="0" fontId="0" fillId="9" borderId="29" xfId="0" applyFill="1" applyBorder="1" applyAlignment="1">
      <alignment horizontal="center" vertical="center" textRotation="90"/>
    </xf>
    <xf numFmtId="0" fontId="0" fillId="9" borderId="41" xfId="0" applyFill="1" applyBorder="1" applyAlignment="1">
      <alignment horizontal="center" vertical="center" textRotation="90"/>
    </xf>
    <xf numFmtId="0" fontId="0" fillId="9" borderId="35" xfId="0" applyFill="1" applyBorder="1" applyAlignment="1">
      <alignment horizontal="center" vertical="center" wrapText="1"/>
    </xf>
    <xf numFmtId="0" fontId="0" fillId="9" borderId="37" xfId="0" applyFill="1" applyBorder="1" applyAlignment="1">
      <alignment horizontal="center" vertical="center" wrapText="1"/>
    </xf>
    <xf numFmtId="0" fontId="17" fillId="33" borderId="41" xfId="0" applyFont="1" applyFill="1" applyBorder="1" applyAlignment="1">
      <alignment horizontal="center" vertical="top" wrapText="1"/>
    </xf>
    <xf numFmtId="4" fontId="9" fillId="9" borderId="43" xfId="0" applyNumberFormat="1" applyFont="1" applyFill="1" applyBorder="1" applyAlignment="1">
      <alignment horizontal="center" vertical="center" wrapText="1"/>
    </xf>
    <xf numFmtId="4" fontId="17" fillId="13" borderId="41" xfId="0" applyNumberFormat="1" applyFont="1" applyFill="1" applyBorder="1" applyAlignment="1">
      <alignment horizontal="center" vertical="center" wrapText="1"/>
    </xf>
    <xf numFmtId="0" fontId="17" fillId="33" borderId="41" xfId="0" applyFont="1" applyFill="1" applyBorder="1" applyAlignment="1">
      <alignment horizontal="center" vertical="center" wrapText="1"/>
    </xf>
    <xf numFmtId="4" fontId="17" fillId="33" borderId="41" xfId="0" applyNumberFormat="1" applyFont="1" applyFill="1" applyBorder="1" applyAlignment="1">
      <alignment horizontal="center" vertical="center" wrapText="1"/>
    </xf>
    <xf numFmtId="165" fontId="17" fillId="33" borderId="41" xfId="0" applyNumberFormat="1" applyFont="1" applyFill="1" applyBorder="1" applyAlignment="1">
      <alignment horizontal="center" vertical="center" wrapText="1"/>
    </xf>
    <xf numFmtId="3" fontId="17" fillId="33" borderId="41" xfId="0" applyNumberFormat="1" applyFont="1" applyFill="1" applyBorder="1" applyAlignment="1">
      <alignment horizontal="center" vertical="center" wrapText="1"/>
    </xf>
    <xf numFmtId="0" fontId="0" fillId="8" borderId="32" xfId="0" applyFill="1" applyBorder="1" applyAlignment="1">
      <alignment horizontal="center" vertical="center" textRotation="90" wrapText="1"/>
    </xf>
    <xf numFmtId="0" fontId="0" fillId="9" borderId="40" xfId="0" applyFill="1" applyBorder="1" applyAlignment="1">
      <alignment horizontal="center" vertical="center"/>
    </xf>
    <xf numFmtId="0" fontId="0" fillId="9" borderId="29" xfId="0" applyFill="1" applyBorder="1" applyAlignment="1">
      <alignment horizontal="center" vertical="center" textRotation="90" wrapText="1"/>
    </xf>
    <xf numFmtId="3" fontId="24" fillId="35" borderId="29" xfId="0" applyNumberFormat="1" applyFont="1" applyFill="1" applyBorder="1" applyAlignment="1">
      <alignment horizontal="center" vertical="center" textRotation="90" wrapText="1"/>
    </xf>
    <xf numFmtId="0" fontId="17" fillId="33" borderId="38" xfId="0" applyFont="1" applyFill="1" applyBorder="1" applyAlignment="1">
      <alignment horizontal="left" vertical="center" wrapText="1"/>
    </xf>
    <xf numFmtId="0" fontId="8" fillId="10" borderId="40" xfId="0" applyFont="1" applyFill="1" applyBorder="1" applyAlignment="1">
      <alignment horizontal="center" vertical="center"/>
    </xf>
    <xf numFmtId="0" fontId="8" fillId="10" borderId="38" xfId="0" applyFont="1" applyFill="1" applyBorder="1" applyAlignment="1">
      <alignment horizontal="center" vertical="center"/>
    </xf>
    <xf numFmtId="0" fontId="8" fillId="10" borderId="32" xfId="0" applyFont="1" applyFill="1" applyBorder="1" applyAlignment="1">
      <alignment horizontal="center" vertical="center"/>
    </xf>
    <xf numFmtId="0" fontId="24" fillId="35" borderId="28" xfId="0" applyFont="1" applyFill="1" applyBorder="1" applyAlignment="1">
      <alignment horizontal="center" vertical="center"/>
    </xf>
    <xf numFmtId="0" fontId="24" fillId="35" borderId="29" xfId="0" applyFont="1" applyFill="1" applyBorder="1" applyAlignment="1">
      <alignment horizontal="center" vertical="center" wrapText="1"/>
    </xf>
    <xf numFmtId="0" fontId="24" fillId="35" borderId="41" xfId="0" applyFont="1" applyFill="1" applyBorder="1" applyAlignment="1">
      <alignment horizontal="center" vertical="center" textRotation="90" wrapText="1"/>
    </xf>
    <xf numFmtId="49" fontId="24" fillId="35" borderId="29" xfId="0" quotePrefix="1" applyNumberFormat="1" applyFont="1" applyFill="1" applyBorder="1" applyAlignment="1">
      <alignment horizontal="center" vertical="center" wrapText="1"/>
    </xf>
    <xf numFmtId="3" fontId="24" fillId="35" borderId="41" xfId="0" applyNumberFormat="1" applyFont="1" applyFill="1" applyBorder="1" applyAlignment="1">
      <alignment horizontal="center" vertical="center" textRotation="90" wrapText="1"/>
    </xf>
    <xf numFmtId="3" fontId="26" fillId="35" borderId="30" xfId="0" quotePrefix="1" applyNumberFormat="1" applyFont="1" applyFill="1" applyBorder="1" applyAlignment="1">
      <alignment horizontal="center" vertical="center" wrapText="1"/>
    </xf>
    <xf numFmtId="166" fontId="24" fillId="35" borderId="30" xfId="0" quotePrefix="1" applyNumberFormat="1" applyFont="1" applyFill="1" applyBorder="1" applyAlignment="1">
      <alignment horizontal="center" vertical="center" wrapText="1"/>
    </xf>
    <xf numFmtId="0" fontId="22" fillId="7" borderId="0" xfId="0" applyFont="1" applyFill="1"/>
    <xf numFmtId="0" fontId="22" fillId="7" borderId="21" xfId="0" applyFont="1" applyFill="1" applyBorder="1" applyAlignment="1">
      <alignment wrapText="1"/>
    </xf>
    <xf numFmtId="0" fontId="22" fillId="10" borderId="0" xfId="0" applyFont="1" applyFill="1" applyAlignment="1">
      <alignment horizontal="center" vertical="center"/>
    </xf>
    <xf numFmtId="0" fontId="22" fillId="35" borderId="55" xfId="0" applyFont="1" applyFill="1" applyBorder="1" applyAlignment="1">
      <alignment horizontal="center" vertical="center"/>
    </xf>
    <xf numFmtId="0" fontId="22" fillId="35" borderId="25" xfId="0" applyFont="1" applyFill="1" applyBorder="1" applyAlignment="1">
      <alignment horizontal="center" vertical="center" wrapText="1"/>
    </xf>
    <xf numFmtId="3" fontId="22" fillId="35" borderId="25" xfId="0" applyNumberFormat="1" applyFont="1" applyFill="1" applyBorder="1" applyAlignment="1">
      <alignment horizontal="center" vertical="center" textRotation="90" wrapText="1"/>
    </xf>
    <xf numFmtId="0" fontId="22" fillId="35" borderId="25" xfId="0" applyFont="1" applyFill="1" applyBorder="1" applyAlignment="1">
      <alignment horizontal="center" vertical="center" textRotation="90" wrapText="1"/>
    </xf>
    <xf numFmtId="49" fontId="22" fillId="35" borderId="25" xfId="0" applyNumberFormat="1" applyFont="1" applyFill="1" applyBorder="1" applyAlignment="1">
      <alignment horizontal="center" vertical="center" wrapText="1"/>
    </xf>
    <xf numFmtId="3" fontId="22" fillId="35" borderId="54" xfId="0" applyNumberFormat="1" applyFont="1" applyFill="1" applyBorder="1" applyAlignment="1">
      <alignment horizontal="center" vertical="center" textRotation="90" wrapText="1"/>
    </xf>
    <xf numFmtId="3" fontId="33" fillId="35" borderId="57" xfId="0" applyNumberFormat="1" applyFont="1" applyFill="1" applyBorder="1" applyAlignment="1">
      <alignment horizontal="center" vertical="center" wrapText="1"/>
    </xf>
    <xf numFmtId="166" fontId="22" fillId="35" borderId="57" xfId="0" applyNumberFormat="1" applyFont="1" applyFill="1" applyBorder="1" applyAlignment="1">
      <alignment horizontal="center" vertical="center" wrapText="1"/>
    </xf>
    <xf numFmtId="3" fontId="22" fillId="37" borderId="57" xfId="0" applyNumberFormat="1" applyFont="1" applyFill="1" applyBorder="1" applyAlignment="1">
      <alignment horizontal="center" vertical="center" wrapText="1"/>
    </xf>
    <xf numFmtId="3" fontId="22" fillId="37" borderId="12" xfId="0" applyNumberFormat="1" applyFont="1" applyFill="1" applyBorder="1" applyAlignment="1">
      <alignment horizontal="center" vertical="center" wrapText="1"/>
    </xf>
    <xf numFmtId="0" fontId="13" fillId="9" borderId="56" xfId="0" applyFont="1" applyFill="1" applyBorder="1" applyAlignment="1">
      <alignment horizontal="center" vertical="center" wrapText="1"/>
    </xf>
    <xf numFmtId="0" fontId="13" fillId="9" borderId="38" xfId="0" applyFont="1" applyFill="1" applyBorder="1" applyAlignment="1">
      <alignment horizontal="center" vertical="center" wrapText="1"/>
    </xf>
    <xf numFmtId="0" fontId="13" fillId="9" borderId="36" xfId="0" applyFont="1" applyFill="1" applyBorder="1" applyAlignment="1">
      <alignment horizontal="center" vertical="center" textRotation="90" wrapText="1"/>
    </xf>
    <xf numFmtId="4" fontId="12" fillId="9" borderId="0" xfId="0" applyNumberFormat="1" applyFont="1" applyFill="1" applyAlignment="1">
      <alignment horizontal="center" vertical="center" wrapText="1"/>
    </xf>
    <xf numFmtId="0" fontId="13" fillId="7" borderId="0" xfId="0" applyFont="1" applyFill="1" applyAlignment="1">
      <alignment wrapText="1"/>
    </xf>
    <xf numFmtId="0" fontId="13" fillId="7" borderId="2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textRotation="90"/>
    </xf>
    <xf numFmtId="0" fontId="13" fillId="4" borderId="23" xfId="0" applyFont="1" applyFill="1" applyBorder="1" applyAlignment="1">
      <alignment horizontal="center" vertical="center" textRotation="90"/>
    </xf>
    <xf numFmtId="0" fontId="13" fillId="5" borderId="21" xfId="0" applyFont="1" applyFill="1" applyBorder="1" applyAlignment="1">
      <alignment horizontal="center" vertical="center" textRotation="90"/>
    </xf>
    <xf numFmtId="4" fontId="12" fillId="13" borderId="0" xfId="0" applyNumberFormat="1" applyFont="1" applyFill="1" applyAlignment="1">
      <alignment horizontal="center" vertical="center" wrapText="1"/>
    </xf>
    <xf numFmtId="0" fontId="12" fillId="33" borderId="0" xfId="0" applyFont="1" applyFill="1" applyAlignment="1">
      <alignment horizontal="center" vertical="center" wrapText="1"/>
    </xf>
    <xf numFmtId="4" fontId="12" fillId="33" borderId="0" xfId="0" applyNumberFormat="1" applyFont="1" applyFill="1" applyAlignment="1">
      <alignment horizontal="center" vertical="center" wrapText="1"/>
    </xf>
    <xf numFmtId="165" fontId="12" fillId="33" borderId="0" xfId="0" applyNumberFormat="1" applyFont="1" applyFill="1" applyAlignment="1">
      <alignment horizontal="center" vertical="center" wrapText="1"/>
    </xf>
    <xf numFmtId="3" fontId="12" fillId="33" borderId="0" xfId="0" applyNumberFormat="1" applyFont="1" applyFill="1" applyAlignment="1">
      <alignment horizontal="center" vertical="center" wrapText="1"/>
    </xf>
    <xf numFmtId="0" fontId="12" fillId="33" borderId="0" xfId="0" applyFont="1" applyFill="1" applyAlignment="1">
      <alignment horizontal="center" vertical="top" wrapText="1"/>
    </xf>
    <xf numFmtId="0" fontId="12" fillId="33" borderId="0" xfId="0" applyFont="1" applyFill="1" applyAlignment="1">
      <alignment horizontal="left" vertical="center" wrapText="1"/>
    </xf>
    <xf numFmtId="0" fontId="13" fillId="6" borderId="23" xfId="0" applyFont="1" applyFill="1" applyBorder="1" applyAlignment="1">
      <alignment horizontal="center" vertical="center" textRotation="90"/>
    </xf>
    <xf numFmtId="0" fontId="13" fillId="34" borderId="22" xfId="0" applyFont="1" applyFill="1" applyBorder="1" applyAlignment="1">
      <alignment horizontal="center" vertical="center" textRotation="90"/>
    </xf>
    <xf numFmtId="0" fontId="13" fillId="0" borderId="0" xfId="0" applyFont="1" applyAlignment="1">
      <alignment vertical="center" wrapText="1"/>
    </xf>
    <xf numFmtId="0" fontId="13" fillId="13" borderId="8" xfId="0" applyFont="1" applyFill="1" applyBorder="1" applyAlignment="1">
      <alignment horizontal="center"/>
    </xf>
    <xf numFmtId="0" fontId="8" fillId="9" borderId="38" xfId="0" applyFont="1" applyFill="1" applyBorder="1" applyAlignment="1">
      <alignment horizontal="center" vertical="center" wrapText="1"/>
    </xf>
    <xf numFmtId="0" fontId="8" fillId="9" borderId="36" xfId="0" applyFont="1" applyFill="1" applyBorder="1" applyAlignment="1">
      <alignment horizontal="center" vertical="center" textRotation="90" wrapText="1"/>
    </xf>
    <xf numFmtId="3" fontId="24" fillId="28" borderId="49" xfId="0" applyNumberFormat="1" applyFont="1" applyFill="1" applyBorder="1" applyAlignment="1">
      <alignment horizontal="center" vertical="center"/>
    </xf>
    <xf numFmtId="0" fontId="23" fillId="21" borderId="8" xfId="0" applyFont="1" applyFill="1" applyBorder="1" applyAlignment="1">
      <alignment horizontal="center" vertical="center"/>
    </xf>
    <xf numFmtId="49" fontId="12" fillId="14" borderId="27" xfId="0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wrapText="1"/>
    </xf>
    <xf numFmtId="1" fontId="13" fillId="15" borderId="24" xfId="0" applyNumberFormat="1" applyFont="1" applyFill="1" applyBorder="1" applyAlignment="1">
      <alignment horizontal="center" vertical="center"/>
    </xf>
    <xf numFmtId="1" fontId="18" fillId="14" borderId="24" xfId="0" applyNumberFormat="1" applyFont="1" applyFill="1" applyBorder="1" applyAlignment="1">
      <alignment horizontal="center" vertical="center"/>
    </xf>
    <xf numFmtId="1" fontId="21" fillId="23" borderId="24" xfId="0" applyNumberFormat="1" applyFont="1" applyFill="1" applyBorder="1" applyAlignment="1">
      <alignment horizontal="center" vertical="center"/>
    </xf>
    <xf numFmtId="0" fontId="18" fillId="14" borderId="27" xfId="0" applyFont="1" applyFill="1" applyBorder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13" fillId="9" borderId="54" xfId="0" applyFont="1" applyFill="1" applyBorder="1" applyAlignment="1">
      <alignment horizontal="center" vertical="center" textRotation="90"/>
    </xf>
    <xf numFmtId="0" fontId="13" fillId="9" borderId="54" xfId="0" applyFont="1" applyFill="1" applyBorder="1" applyAlignment="1">
      <alignment horizontal="center" vertical="center" textRotation="90" wrapText="1"/>
    </xf>
    <xf numFmtId="0" fontId="35" fillId="9" borderId="54" xfId="0" applyFont="1" applyFill="1" applyBorder="1" applyAlignment="1">
      <alignment horizontal="center" vertical="center" wrapText="1"/>
    </xf>
    <xf numFmtId="0" fontId="13" fillId="9" borderId="54" xfId="0" applyFont="1" applyFill="1" applyBorder="1" applyAlignment="1">
      <alignment horizontal="center" vertical="center"/>
    </xf>
    <xf numFmtId="0" fontId="20" fillId="20" borderId="7" xfId="0" applyFont="1" applyFill="1" applyBorder="1" applyAlignment="1">
      <alignment horizontal="center"/>
    </xf>
    <xf numFmtId="0" fontId="13" fillId="8" borderId="0" xfId="0" applyFont="1" applyFill="1" applyAlignment="1">
      <alignment horizontal="center" vertical="center"/>
    </xf>
    <xf numFmtId="0" fontId="13" fillId="8" borderId="25" xfId="0" applyFont="1" applyFill="1" applyBorder="1" applyAlignment="1">
      <alignment horizontal="center" vertical="center" wrapText="1"/>
    </xf>
    <xf numFmtId="0" fontId="13" fillId="8" borderId="54" xfId="0" applyFont="1" applyFill="1" applyBorder="1" applyAlignment="1">
      <alignment horizontal="center" vertical="center"/>
    </xf>
    <xf numFmtId="0" fontId="13" fillId="8" borderId="54" xfId="0" applyFont="1" applyFill="1" applyBorder="1" applyAlignment="1">
      <alignment vertical="center"/>
    </xf>
    <xf numFmtId="0" fontId="13" fillId="8" borderId="0" xfId="0" applyFont="1" applyFill="1" applyAlignment="1">
      <alignment horizontal="center" vertical="center" textRotation="90" wrapText="1"/>
    </xf>
    <xf numFmtId="49" fontId="23" fillId="17" borderId="16" xfId="0" applyNumberFormat="1" applyFont="1" applyFill="1" applyBorder="1"/>
    <xf numFmtId="0" fontId="20" fillId="13" borderId="8" xfId="0" applyFont="1" applyFill="1" applyBorder="1" applyAlignment="1">
      <alignment horizontal="center"/>
    </xf>
    <xf numFmtId="0" fontId="11" fillId="29" borderId="7" xfId="0" applyFont="1" applyFill="1" applyBorder="1" applyAlignment="1">
      <alignment horizontal="center"/>
    </xf>
    <xf numFmtId="0" fontId="13" fillId="13" borderId="6" xfId="0" applyFont="1" applyFill="1" applyBorder="1" applyAlignment="1">
      <alignment horizontal="center" vertical="center" wrapText="1"/>
    </xf>
    <xf numFmtId="0" fontId="20" fillId="23" borderId="11" xfId="0" applyFont="1" applyFill="1" applyBorder="1" applyAlignment="1">
      <alignment horizontal="center" vertical="center"/>
    </xf>
    <xf numFmtId="4" fontId="20" fillId="23" borderId="11" xfId="0" applyNumberFormat="1" applyFont="1" applyFill="1" applyBorder="1" applyAlignment="1">
      <alignment horizontal="center" vertical="center"/>
    </xf>
    <xf numFmtId="165" fontId="20" fillId="23" borderId="11" xfId="0" applyNumberFormat="1" applyFont="1" applyFill="1" applyBorder="1" applyAlignment="1">
      <alignment horizontal="center" vertical="center"/>
    </xf>
    <xf numFmtId="3" fontId="20" fillId="23" borderId="11" xfId="0" applyNumberFormat="1" applyFont="1" applyFill="1" applyBorder="1" applyAlignment="1">
      <alignment horizontal="center" vertical="center"/>
    </xf>
    <xf numFmtId="0" fontId="13" fillId="15" borderId="11" xfId="0" applyFont="1" applyFill="1" applyBorder="1" applyAlignment="1">
      <alignment horizontal="left" vertical="center"/>
    </xf>
    <xf numFmtId="0" fontId="13" fillId="15" borderId="11" xfId="0" applyFont="1" applyFill="1" applyBorder="1" applyAlignment="1">
      <alignment horizontal="center" vertical="center"/>
    </xf>
    <xf numFmtId="164" fontId="13" fillId="15" borderId="10" xfId="0" applyNumberFormat="1" applyFont="1" applyFill="1" applyBorder="1" applyAlignment="1">
      <alignment horizontal="right" vertical="center"/>
    </xf>
    <xf numFmtId="0" fontId="13" fillId="15" borderId="13" xfId="0" applyFont="1" applyFill="1" applyBorder="1" applyAlignment="1">
      <alignment horizontal="center" vertical="center"/>
    </xf>
    <xf numFmtId="0" fontId="13" fillId="15" borderId="20" xfId="0" applyFont="1" applyFill="1" applyBorder="1" applyAlignment="1">
      <alignment horizontal="center" vertical="center"/>
    </xf>
    <xf numFmtId="1" fontId="13" fillId="15" borderId="3" xfId="0" applyNumberFormat="1" applyFont="1" applyFill="1" applyBorder="1" applyAlignment="1">
      <alignment horizontal="center" vertical="center"/>
    </xf>
    <xf numFmtId="0" fontId="0" fillId="40" borderId="22" xfId="0" applyFill="1" applyBorder="1" applyAlignment="1">
      <alignment horizontal="center" vertical="center" textRotation="90" wrapText="1"/>
    </xf>
    <xf numFmtId="0" fontId="8" fillId="40" borderId="36" xfId="0" applyFont="1" applyFill="1" applyBorder="1" applyAlignment="1">
      <alignment horizontal="center" vertical="center" textRotation="90" wrapText="1"/>
    </xf>
    <xf numFmtId="0" fontId="0" fillId="41" borderId="22" xfId="0" applyFill="1" applyBorder="1" applyAlignment="1">
      <alignment horizontal="center" vertical="center" textRotation="90" wrapText="1"/>
    </xf>
    <xf numFmtId="0" fontId="8" fillId="41" borderId="36" xfId="0" applyFont="1" applyFill="1" applyBorder="1" applyAlignment="1">
      <alignment horizontal="center" vertical="center" textRotation="90" wrapText="1"/>
    </xf>
    <xf numFmtId="0" fontId="0" fillId="42" borderId="22" xfId="0" applyFill="1" applyBorder="1" applyAlignment="1">
      <alignment horizontal="center" vertical="center" textRotation="90" wrapText="1"/>
    </xf>
    <xf numFmtId="0" fontId="8" fillId="42" borderId="36" xfId="0" applyFont="1" applyFill="1" applyBorder="1" applyAlignment="1">
      <alignment horizontal="center" vertical="center" textRotation="90" wrapText="1"/>
    </xf>
    <xf numFmtId="0" fontId="0" fillId="43" borderId="22" xfId="0" applyFill="1" applyBorder="1" applyAlignment="1">
      <alignment horizontal="center" vertical="center" textRotation="90" wrapText="1"/>
    </xf>
    <xf numFmtId="0" fontId="8" fillId="43" borderId="36" xfId="0" applyFont="1" applyFill="1" applyBorder="1" applyAlignment="1">
      <alignment horizontal="center" vertical="center" textRotation="90" wrapText="1"/>
    </xf>
    <xf numFmtId="1" fontId="23" fillId="21" borderId="24" xfId="0" quotePrefix="1" applyNumberFormat="1" applyFont="1" applyFill="1" applyBorder="1" applyAlignment="1">
      <alignment horizontal="center" vertical="center"/>
    </xf>
    <xf numFmtId="2" fontId="22" fillId="21" borderId="27" xfId="0" applyNumberFormat="1" applyFont="1" applyFill="1" applyBorder="1" applyAlignment="1">
      <alignment horizontal="center" vertical="center"/>
    </xf>
    <xf numFmtId="0" fontId="22" fillId="21" borderId="3" xfId="0" applyFont="1" applyFill="1" applyBorder="1" applyAlignment="1">
      <alignment horizontal="center" vertical="center"/>
    </xf>
    <xf numFmtId="0" fontId="23" fillId="13" borderId="16" xfId="0" applyFont="1" applyFill="1" applyBorder="1" applyAlignment="1">
      <alignment horizontal="right" vertical="center"/>
    </xf>
    <xf numFmtId="0" fontId="13" fillId="13" borderId="6" xfId="0" applyFont="1" applyFill="1" applyBorder="1" applyAlignment="1">
      <alignment horizontal="right" vertical="center"/>
    </xf>
    <xf numFmtId="0" fontId="21" fillId="13" borderId="6" xfId="0" applyFont="1" applyFill="1" applyBorder="1" applyAlignment="1">
      <alignment horizontal="right" vertical="center"/>
    </xf>
    <xf numFmtId="0" fontId="13" fillId="15" borderId="9" xfId="0" applyFont="1" applyFill="1" applyBorder="1" applyAlignment="1">
      <alignment horizontal="center" vertical="center"/>
    </xf>
    <xf numFmtId="4" fontId="23" fillId="21" borderId="16" xfId="0" applyNumberFormat="1" applyFont="1" applyFill="1" applyBorder="1" applyAlignment="1">
      <alignment horizontal="center" vertical="center"/>
    </xf>
    <xf numFmtId="4" fontId="13" fillId="15" borderId="9" xfId="0" applyNumberFormat="1" applyFont="1" applyFill="1" applyBorder="1" applyAlignment="1">
      <alignment horizontal="center" vertical="center"/>
    </xf>
    <xf numFmtId="165" fontId="23" fillId="21" borderId="16" xfId="0" applyNumberFormat="1" applyFont="1" applyFill="1" applyBorder="1" applyAlignment="1">
      <alignment horizontal="center" vertical="center"/>
    </xf>
    <xf numFmtId="165" fontId="13" fillId="15" borderId="9" xfId="0" applyNumberFormat="1" applyFont="1" applyFill="1" applyBorder="1" applyAlignment="1">
      <alignment horizontal="center" vertical="center"/>
    </xf>
    <xf numFmtId="3" fontId="23" fillId="21" borderId="16" xfId="0" applyNumberFormat="1" applyFont="1" applyFill="1" applyBorder="1" applyAlignment="1">
      <alignment horizontal="center" vertical="center"/>
    </xf>
    <xf numFmtId="3" fontId="13" fillId="15" borderId="9" xfId="0" applyNumberFormat="1" applyFont="1" applyFill="1" applyBorder="1" applyAlignment="1">
      <alignment horizontal="center" vertical="center"/>
    </xf>
    <xf numFmtId="3" fontId="13" fillId="15" borderId="9" xfId="0" applyNumberFormat="1" applyFont="1" applyFill="1" applyBorder="1" applyAlignment="1">
      <alignment horizontal="center" vertical="center" wrapText="1"/>
    </xf>
    <xf numFmtId="14" fontId="23" fillId="21" borderId="16" xfId="0" applyNumberFormat="1" applyFont="1" applyFill="1" applyBorder="1" applyAlignment="1">
      <alignment horizontal="center" vertical="center"/>
    </xf>
    <xf numFmtId="0" fontId="0" fillId="7" borderId="2" xfId="0" applyFill="1" applyBorder="1" applyAlignment="1">
      <alignment wrapText="1"/>
    </xf>
    <xf numFmtId="0" fontId="22" fillId="7" borderId="2" xfId="0" applyFont="1" applyFill="1" applyBorder="1" applyAlignment="1">
      <alignment wrapText="1"/>
    </xf>
    <xf numFmtId="0" fontId="19" fillId="7" borderId="34" xfId="0" applyFont="1" applyFill="1" applyBorder="1"/>
    <xf numFmtId="0" fontId="19" fillId="7" borderId="53" xfId="0" applyFont="1" applyFill="1" applyBorder="1"/>
    <xf numFmtId="0" fontId="0" fillId="7" borderId="39" xfId="0" applyFill="1" applyBorder="1" applyAlignment="1">
      <alignment horizontal="center" vertical="center" wrapText="1"/>
    </xf>
    <xf numFmtId="0" fontId="13" fillId="7" borderId="52" xfId="0" applyFont="1" applyFill="1" applyBorder="1" applyAlignment="1">
      <alignment horizontal="center" vertical="center"/>
    </xf>
    <xf numFmtId="0" fontId="13" fillId="7" borderId="51" xfId="0" applyFont="1" applyFill="1" applyBorder="1" applyAlignment="1">
      <alignment horizontal="center" vertical="center"/>
    </xf>
    <xf numFmtId="0" fontId="13" fillId="38" borderId="22" xfId="0" applyFont="1" applyFill="1" applyBorder="1" applyAlignment="1">
      <alignment horizontal="center" textRotation="90"/>
    </xf>
    <xf numFmtId="0" fontId="13" fillId="38" borderId="39" xfId="0" applyFont="1" applyFill="1" applyBorder="1" applyAlignment="1">
      <alignment horizontal="center" textRotation="90"/>
    </xf>
    <xf numFmtId="0" fontId="19" fillId="7" borderId="34" xfId="0" applyFont="1" applyFill="1" applyBorder="1" applyAlignment="1">
      <alignment horizontal="center" vertical="center"/>
    </xf>
    <xf numFmtId="0" fontId="13" fillId="26" borderId="55" xfId="0" applyFont="1" applyFill="1" applyBorder="1" applyAlignment="1">
      <alignment horizontal="right" textRotation="90"/>
    </xf>
    <xf numFmtId="0" fontId="13" fillId="39" borderId="0" xfId="0" applyFont="1" applyFill="1" applyAlignment="1">
      <alignment horizontal="right" textRotation="90"/>
    </xf>
    <xf numFmtId="0" fontId="13" fillId="27" borderId="21" xfId="0" applyFont="1" applyFill="1" applyBorder="1" applyAlignment="1">
      <alignment horizontal="right" textRotation="90"/>
    </xf>
    <xf numFmtId="0" fontId="23" fillId="21" borderId="3" xfId="0" applyFont="1" applyFill="1" applyBorder="1" applyAlignment="1">
      <alignment vertical="center"/>
    </xf>
    <xf numFmtId="9" fontId="23" fillId="21" borderId="6" xfId="0" applyNumberFormat="1" applyFont="1" applyFill="1" applyBorder="1" applyAlignment="1">
      <alignment horizontal="center" vertical="center"/>
    </xf>
    <xf numFmtId="3" fontId="23" fillId="21" borderId="6" xfId="0" applyNumberFormat="1" applyFont="1" applyFill="1" applyBorder="1" applyAlignment="1">
      <alignment horizontal="center" vertical="center"/>
    </xf>
    <xf numFmtId="3" fontId="23" fillId="21" borderId="5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8" fillId="16" borderId="19" xfId="0" applyFont="1" applyFill="1" applyBorder="1"/>
    <xf numFmtId="0" fontId="12" fillId="15" borderId="14" xfId="0" applyFont="1" applyFill="1" applyBorder="1" applyAlignment="1">
      <alignment horizontal="center" vertical="center"/>
    </xf>
    <xf numFmtId="0" fontId="18" fillId="15" borderId="23" xfId="0" applyFont="1" applyFill="1" applyBorder="1" applyAlignment="1">
      <alignment horizontal="center" vertical="center"/>
    </xf>
    <xf numFmtId="1" fontId="18" fillId="15" borderId="26" xfId="0" applyNumberFormat="1" applyFont="1" applyFill="1" applyBorder="1" applyAlignment="1">
      <alignment horizontal="center" vertical="center"/>
    </xf>
    <xf numFmtId="0" fontId="18" fillId="15" borderId="14" xfId="0" applyFont="1" applyFill="1" applyBorder="1" applyAlignment="1">
      <alignment horizontal="center" vertical="center"/>
    </xf>
    <xf numFmtId="49" fontId="13" fillId="15" borderId="23" xfId="0" applyNumberFormat="1" applyFont="1" applyFill="1" applyBorder="1" applyAlignment="1">
      <alignment horizontal="center" vertical="center"/>
    </xf>
    <xf numFmtId="0" fontId="12" fillId="15" borderId="20" xfId="0" applyFont="1" applyFill="1" applyBorder="1" applyAlignment="1">
      <alignment horizontal="left" vertical="center"/>
    </xf>
    <xf numFmtId="0" fontId="12" fillId="15" borderId="10" xfId="0" applyFont="1" applyFill="1" applyBorder="1" applyAlignment="1">
      <alignment horizontal="left" vertical="center"/>
    </xf>
    <xf numFmtId="1" fontId="12" fillId="15" borderId="26" xfId="0" applyNumberFormat="1" applyFont="1" applyFill="1" applyBorder="1" applyAlignment="1">
      <alignment horizontal="left" vertical="center"/>
    </xf>
    <xf numFmtId="0" fontId="12" fillId="15" borderId="11" xfId="0" applyFont="1" applyFill="1" applyBorder="1" applyAlignment="1">
      <alignment horizontal="left" vertical="center"/>
    </xf>
    <xf numFmtId="0" fontId="12" fillId="15" borderId="11" xfId="0" applyFont="1" applyFill="1" applyBorder="1" applyAlignment="1">
      <alignment vertical="center"/>
    </xf>
    <xf numFmtId="0" fontId="12" fillId="15" borderId="11" xfId="0" applyFont="1" applyFill="1" applyBorder="1" applyAlignment="1">
      <alignment horizontal="center" vertical="center"/>
    </xf>
    <xf numFmtId="0" fontId="12" fillId="15" borderId="11" xfId="0" applyFont="1" applyFill="1" applyBorder="1" applyAlignment="1">
      <alignment horizontal="right" vertical="center"/>
    </xf>
    <xf numFmtId="9" fontId="12" fillId="15" borderId="11" xfId="0" applyNumberFormat="1" applyFont="1" applyFill="1" applyBorder="1" applyAlignment="1">
      <alignment horizontal="center" vertical="center"/>
    </xf>
    <xf numFmtId="164" fontId="12" fillId="15" borderId="11" xfId="0" applyNumberFormat="1" applyFont="1" applyFill="1" applyBorder="1" applyAlignment="1">
      <alignment horizontal="right" vertical="center"/>
    </xf>
    <xf numFmtId="0" fontId="12" fillId="15" borderId="23" xfId="0" applyFont="1" applyFill="1" applyBorder="1" applyAlignment="1">
      <alignment horizontal="right" vertical="center"/>
    </xf>
    <xf numFmtId="0" fontId="13" fillId="13" borderId="11" xfId="0" applyFont="1" applyFill="1" applyBorder="1" applyAlignment="1">
      <alignment horizontal="right" vertical="center"/>
    </xf>
    <xf numFmtId="4" fontId="13" fillId="15" borderId="11" xfId="0" applyNumberFormat="1" applyFont="1" applyFill="1" applyBorder="1" applyAlignment="1">
      <alignment horizontal="center" vertical="center"/>
    </xf>
    <xf numFmtId="165" fontId="13" fillId="15" borderId="11" xfId="0" applyNumberFormat="1" applyFont="1" applyFill="1" applyBorder="1" applyAlignment="1">
      <alignment horizontal="center" vertical="center"/>
    </xf>
    <xf numFmtId="3" fontId="13" fillId="15" borderId="11" xfId="0" applyNumberFormat="1" applyFont="1" applyFill="1" applyBorder="1" applyAlignment="1">
      <alignment horizontal="center" vertical="center"/>
    </xf>
    <xf numFmtId="165" fontId="13" fillId="15" borderId="10" xfId="0" applyNumberFormat="1" applyFont="1" applyFill="1" applyBorder="1" applyAlignment="1">
      <alignment horizontal="center" vertical="center"/>
    </xf>
    <xf numFmtId="0" fontId="13" fillId="15" borderId="10" xfId="0" applyFont="1" applyFill="1" applyBorder="1" applyAlignment="1">
      <alignment horizontal="left" vertical="center"/>
    </xf>
    <xf numFmtId="14" fontId="12" fillId="15" borderId="20" xfId="0" applyNumberFormat="1" applyFont="1" applyFill="1" applyBorder="1" applyAlignment="1">
      <alignment horizontal="center" vertical="center"/>
    </xf>
    <xf numFmtId="14" fontId="12" fillId="15" borderId="11" xfId="0" applyNumberFormat="1" applyFont="1" applyFill="1" applyBorder="1" applyAlignment="1">
      <alignment horizontal="center" vertical="center"/>
    </xf>
    <xf numFmtId="3" fontId="12" fillId="15" borderId="11" xfId="0" applyNumberFormat="1" applyFont="1" applyFill="1" applyBorder="1" applyAlignment="1">
      <alignment horizontal="center" vertical="center"/>
    </xf>
    <xf numFmtId="3" fontId="12" fillId="15" borderId="10" xfId="0" applyNumberFormat="1" applyFont="1" applyFill="1" applyBorder="1" applyAlignment="1">
      <alignment horizontal="center" vertical="center"/>
    </xf>
    <xf numFmtId="3" fontId="12" fillId="15" borderId="12" xfId="0" applyNumberFormat="1" applyFont="1" applyFill="1" applyBorder="1" applyAlignment="1">
      <alignment horizontal="center" vertical="center"/>
    </xf>
    <xf numFmtId="3" fontId="21" fillId="12" borderId="12" xfId="0" applyNumberFormat="1" applyFont="1" applyFill="1" applyBorder="1" applyAlignment="1">
      <alignment horizontal="center"/>
    </xf>
    <xf numFmtId="14" fontId="13" fillId="15" borderId="9" xfId="0" applyNumberFormat="1" applyFont="1" applyFill="1" applyBorder="1" applyAlignment="1">
      <alignment horizontal="center" vertical="center"/>
    </xf>
    <xf numFmtId="3" fontId="12" fillId="15" borderId="3" xfId="0" applyNumberFormat="1" applyFont="1" applyFill="1" applyBorder="1" applyAlignment="1">
      <alignment horizontal="center" vertical="center"/>
    </xf>
    <xf numFmtId="3" fontId="12" fillId="14" borderId="5" xfId="0" applyNumberFormat="1" applyFont="1" applyFill="1" applyBorder="1" applyAlignment="1">
      <alignment horizontal="center" vertical="center"/>
    </xf>
    <xf numFmtId="0" fontId="18" fillId="14" borderId="8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vertical="center"/>
    </xf>
    <xf numFmtId="9" fontId="12" fillId="14" borderId="3" xfId="0" applyNumberFormat="1" applyFont="1" applyFill="1" applyBorder="1" applyAlignment="1">
      <alignment horizontal="center" vertical="center"/>
    </xf>
    <xf numFmtId="4" fontId="13" fillId="14" borderId="3" xfId="0" applyNumberFormat="1" applyFont="1" applyFill="1" applyBorder="1" applyAlignment="1">
      <alignment horizontal="center" vertical="center"/>
    </xf>
    <xf numFmtId="165" fontId="13" fillId="14" borderId="6" xfId="0" applyNumberFormat="1" applyFont="1" applyFill="1" applyBorder="1" applyAlignment="1">
      <alignment horizontal="center" vertical="center"/>
    </xf>
    <xf numFmtId="14" fontId="12" fillId="14" borderId="3" xfId="0" quotePrefix="1" applyNumberFormat="1" applyFont="1" applyFill="1" applyBorder="1" applyAlignment="1">
      <alignment horizontal="center" vertical="center"/>
    </xf>
    <xf numFmtId="14" fontId="12" fillId="14" borderId="24" xfId="0" applyNumberFormat="1" applyFont="1" applyFill="1" applyBorder="1" applyAlignment="1">
      <alignment horizontal="center" vertical="center"/>
    </xf>
    <xf numFmtId="3" fontId="12" fillId="14" borderId="6" xfId="0" applyNumberFormat="1" applyFont="1" applyFill="1" applyBorder="1" applyAlignment="1">
      <alignment horizontal="center" vertical="center"/>
    </xf>
    <xf numFmtId="0" fontId="21" fillId="30" borderId="7" xfId="0" applyFont="1" applyFill="1" applyBorder="1" applyAlignment="1">
      <alignment horizontal="center" vertical="center"/>
    </xf>
    <xf numFmtId="0" fontId="21" fillId="23" borderId="3" xfId="0" applyFont="1" applyFill="1" applyBorder="1" applyAlignment="1">
      <alignment vertical="center"/>
    </xf>
    <xf numFmtId="164" fontId="21" fillId="23" borderId="6" xfId="0" applyNumberFormat="1" applyFont="1" applyFill="1" applyBorder="1" applyAlignment="1">
      <alignment horizontal="right" vertical="center"/>
    </xf>
    <xf numFmtId="14" fontId="20" fillId="23" borderId="3" xfId="0" applyNumberFormat="1" applyFont="1" applyFill="1" applyBorder="1" applyAlignment="1">
      <alignment horizontal="center" vertical="center"/>
    </xf>
    <xf numFmtId="14" fontId="20" fillId="23" borderId="3" xfId="0" quotePrefix="1" applyNumberFormat="1" applyFont="1" applyFill="1" applyBorder="1" applyAlignment="1">
      <alignment horizontal="center" vertical="center"/>
    </xf>
    <xf numFmtId="3" fontId="20" fillId="23" borderId="6" xfId="0" applyNumberFormat="1" applyFont="1" applyFill="1" applyBorder="1" applyAlignment="1">
      <alignment horizontal="center" vertical="center"/>
    </xf>
    <xf numFmtId="0" fontId="13" fillId="14" borderId="9" xfId="0" applyFont="1" applyFill="1" applyBorder="1" applyAlignment="1">
      <alignment horizontal="center" vertical="center"/>
    </xf>
    <xf numFmtId="4" fontId="13" fillId="14" borderId="9" xfId="0" applyNumberFormat="1" applyFont="1" applyFill="1" applyBorder="1" applyAlignment="1">
      <alignment horizontal="center" vertical="center"/>
    </xf>
    <xf numFmtId="165" fontId="13" fillId="14" borderId="9" xfId="0" applyNumberFormat="1" applyFont="1" applyFill="1" applyBorder="1" applyAlignment="1">
      <alignment horizontal="center" vertical="center"/>
    </xf>
    <xf numFmtId="3" fontId="13" fillId="14" borderId="9" xfId="0" applyNumberFormat="1" applyFont="1" applyFill="1" applyBorder="1" applyAlignment="1">
      <alignment horizontal="center" vertical="center"/>
    </xf>
    <xf numFmtId="3" fontId="12" fillId="14" borderId="6" xfId="0" quotePrefix="1" applyNumberFormat="1" applyFont="1" applyFill="1" applyBorder="1" applyAlignment="1">
      <alignment horizontal="center" vertical="center"/>
    </xf>
    <xf numFmtId="3" fontId="20" fillId="23" borderId="6" xfId="0" quotePrefix="1" applyNumberFormat="1" applyFont="1" applyFill="1" applyBorder="1" applyAlignment="1">
      <alignment horizontal="center" vertical="center"/>
    </xf>
    <xf numFmtId="14" fontId="0" fillId="24" borderId="15" xfId="0" applyNumberFormat="1" applyFill="1" applyBorder="1" applyAlignment="1">
      <alignment horizontal="center"/>
    </xf>
    <xf numFmtId="14" fontId="0" fillId="24" borderId="17" xfId="0" applyNumberFormat="1" applyFill="1" applyBorder="1" applyAlignment="1">
      <alignment horizontal="center"/>
    </xf>
    <xf numFmtId="14" fontId="0" fillId="24" borderId="18" xfId="0" applyNumberFormat="1" applyFill="1" applyBorder="1" applyAlignment="1">
      <alignment horizontal="center"/>
    </xf>
    <xf numFmtId="14" fontId="0" fillId="24" borderId="10" xfId="0" applyNumberFormat="1" applyFill="1" applyBorder="1" applyAlignment="1">
      <alignment horizontal="center"/>
    </xf>
    <xf numFmtId="14" fontId="0" fillId="24" borderId="19" xfId="0" applyNumberFormat="1" applyFill="1" applyBorder="1" applyAlignment="1">
      <alignment horizontal="center"/>
    </xf>
    <xf numFmtId="14" fontId="0" fillId="24" borderId="20" xfId="0" applyNumberFormat="1" applyFill="1" applyBorder="1" applyAlignment="1">
      <alignment horizontal="center"/>
    </xf>
    <xf numFmtId="0" fontId="0" fillId="5" borderId="22" xfId="0" applyFill="1" applyBorder="1" applyAlignment="1">
      <alignment vertical="center" textRotation="90"/>
    </xf>
    <xf numFmtId="0" fontId="8" fillId="7" borderId="22" xfId="0" applyFont="1" applyFill="1" applyBorder="1" applyAlignment="1">
      <alignment textRotation="90" wrapText="1"/>
    </xf>
    <xf numFmtId="0" fontId="8" fillId="7" borderId="53" xfId="0" applyFont="1" applyFill="1" applyBorder="1" applyAlignment="1">
      <alignment textRotation="90" wrapText="1"/>
    </xf>
    <xf numFmtId="0" fontId="16" fillId="7" borderId="33" xfId="0" applyFont="1" applyFill="1" applyBorder="1" applyAlignment="1">
      <alignment textRotation="90"/>
    </xf>
    <xf numFmtId="0" fontId="16" fillId="7" borderId="45" xfId="0" applyFont="1" applyFill="1" applyBorder="1" applyAlignment="1">
      <alignment textRotation="90"/>
    </xf>
    <xf numFmtId="0" fontId="0" fillId="7" borderId="22" xfId="0" applyFill="1" applyBorder="1" applyAlignment="1">
      <alignment vertical="center" wrapText="1"/>
    </xf>
    <xf numFmtId="0" fontId="0" fillId="7" borderId="53" xfId="0" applyFill="1" applyBorder="1" applyAlignment="1">
      <alignment vertical="center" wrapText="1"/>
    </xf>
    <xf numFmtId="0" fontId="16" fillId="7" borderId="22" xfId="0" applyFont="1" applyFill="1" applyBorder="1" applyAlignment="1">
      <alignment vertical="center"/>
    </xf>
    <xf numFmtId="0" fontId="16" fillId="7" borderId="53" xfId="0" applyFont="1" applyFill="1" applyBorder="1" applyAlignment="1">
      <alignment vertical="center"/>
    </xf>
    <xf numFmtId="0" fontId="22" fillId="34" borderId="22" xfId="0" applyFont="1" applyFill="1" applyBorder="1" applyAlignment="1">
      <alignment vertical="center" textRotation="90"/>
    </xf>
    <xf numFmtId="0" fontId="24" fillId="34" borderId="42" xfId="0" applyFont="1" applyFill="1" applyBorder="1" applyAlignment="1">
      <alignment vertical="center"/>
    </xf>
    <xf numFmtId="0" fontId="0" fillId="6" borderId="31" xfId="0" applyFill="1" applyBorder="1" applyAlignment="1">
      <alignment vertical="center" textRotation="90"/>
    </xf>
    <xf numFmtId="0" fontId="0" fillId="38" borderId="22" xfId="0" applyFill="1" applyBorder="1" applyAlignment="1">
      <alignment textRotation="90"/>
    </xf>
    <xf numFmtId="0" fontId="0" fillId="38" borderId="39" xfId="0" applyFill="1" applyBorder="1" applyAlignment="1">
      <alignment textRotation="90"/>
    </xf>
    <xf numFmtId="0" fontId="30" fillId="26" borderId="43" xfId="0" applyFont="1" applyFill="1" applyBorder="1" applyAlignment="1">
      <alignment textRotation="90"/>
    </xf>
    <xf numFmtId="0" fontId="31" fillId="39" borderId="36" xfId="0" applyFont="1" applyFill="1" applyBorder="1" applyAlignment="1">
      <alignment textRotation="90"/>
    </xf>
    <xf numFmtId="0" fontId="29" fillId="27" borderId="22" xfId="0" applyFont="1" applyFill="1" applyBorder="1" applyAlignment="1">
      <alignment textRotation="90"/>
    </xf>
    <xf numFmtId="0" fontId="9" fillId="2" borderId="42" xfId="0" applyFont="1" applyFill="1" applyBorder="1" applyAlignment="1"/>
    <xf numFmtId="0" fontId="9" fillId="2" borderId="34" xfId="0" applyFont="1" applyFill="1" applyBorder="1" applyAlignment="1"/>
    <xf numFmtId="0" fontId="9" fillId="2" borderId="49" xfId="0" applyFont="1" applyFill="1" applyBorder="1" applyAlignment="1"/>
    <xf numFmtId="0" fontId="10" fillId="6" borderId="46" xfId="0" applyFont="1" applyFill="1" applyBorder="1" applyAlignment="1">
      <alignment vertical="center"/>
    </xf>
    <xf numFmtId="49" fontId="0" fillId="7" borderId="42" xfId="0" applyNumberFormat="1" applyFill="1" applyBorder="1" applyAlignment="1">
      <alignment vertical="center"/>
    </xf>
    <xf numFmtId="0" fontId="0" fillId="7" borderId="34" xfId="0" applyFill="1" applyBorder="1" applyAlignment="1">
      <alignment vertical="center"/>
    </xf>
    <xf numFmtId="0" fontId="0" fillId="3" borderId="22" xfId="0" applyFill="1" applyBorder="1" applyAlignment="1">
      <alignment vertical="center" textRotation="90"/>
    </xf>
    <xf numFmtId="0" fontId="9" fillId="3" borderId="42" xfId="0" applyFont="1" applyFill="1" applyBorder="1" applyAlignment="1"/>
    <xf numFmtId="0" fontId="0" fillId="4" borderId="31" xfId="0" applyFill="1" applyBorder="1" applyAlignment="1">
      <alignment vertical="center" textRotation="90"/>
    </xf>
    <xf numFmtId="0" fontId="9" fillId="4" borderId="49" xfId="0" applyFont="1" applyFill="1" applyBorder="1" applyAlignment="1"/>
    <xf numFmtId="0" fontId="25" fillId="9" borderId="32" xfId="0" applyFont="1" applyFill="1" applyBorder="1" applyAlignment="1">
      <alignment vertical="center" wrapText="1"/>
    </xf>
  </cellXfs>
  <cellStyles count="12">
    <cellStyle name="Hyperlink" xfId="1" xr:uid="{00000000-000B-0000-0000-000008000000}"/>
    <cellStyle name="Prozent 2" xfId="9" xr:uid="{CA92E0C0-5860-4607-B107-BC3E2C073977}"/>
    <cellStyle name="Standard" xfId="0" builtinId="0"/>
    <cellStyle name="Standard 2" xfId="2" xr:uid="{E18EE68C-1AD2-48D5-BF5A-F749774728FB}"/>
    <cellStyle name="Standard 3" xfId="3" xr:uid="{6BA2A25E-082E-491B-A15E-9DB6919AA32E}"/>
    <cellStyle name="Standard 4" xfId="5" xr:uid="{3A2B663D-5137-4033-B54E-3210A6FDF49F}"/>
    <cellStyle name="Standard 5" xfId="6" xr:uid="{F959E425-7CB3-46CD-B587-A5B9ED149FB9}"/>
    <cellStyle name="Standard 6" xfId="7" xr:uid="{6B1E9CB1-1139-4755-9978-E5902499B8B1}"/>
    <cellStyle name="Standard 7" xfId="8" xr:uid="{E0C7F67D-A642-40F0-AFAF-99EB73E27897}"/>
    <cellStyle name="Standard 8" xfId="10" xr:uid="{85319C66-00C5-4409-9D17-D1E3EA30B559}"/>
    <cellStyle name="Standard 9" xfId="11" xr:uid="{64481A11-0225-4167-9E4D-F99BB23D4D25}"/>
    <cellStyle name="Währung 2" xfId="4" xr:uid="{C6DDC917-228F-495A-845D-9755B55041EC}"/>
  </cellStyles>
  <dxfs count="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AD6C2"/>
      <rgbColor rgb="FF0000FF"/>
      <rgbColor rgb="FFFFD243"/>
      <rgbColor rgb="FFFF00FF"/>
      <rgbColor rgb="FF00FFFF"/>
      <rgbColor rgb="FF800000"/>
      <rgbColor rgb="FFF2F2F2"/>
      <rgbColor rgb="FF000080"/>
      <rgbColor rgb="FF548235"/>
      <rgbColor rgb="FF6600FF"/>
      <rgbColor rgb="FFD0CECE"/>
      <rgbColor rgb="FFBFBFBF"/>
      <rgbColor rgb="FF7C7C7C"/>
      <rgbColor rgb="FFA8BCF6"/>
      <rgbColor rgb="FF7E36B4"/>
      <rgbColor rgb="FFFFF2CC"/>
      <rgbColor rgb="FFDEEBF7"/>
      <rgbColor rgb="FF660066"/>
      <rgbColor rgb="FFF19B61"/>
      <rgbColor rgb="FFE1CCF0"/>
      <rgbColor rgb="FFC7D4F9"/>
      <rgbColor rgb="FF000080"/>
      <rgbColor rgb="FFFF00FF"/>
      <rgbColor rgb="FFFFD966"/>
      <rgbColor rgb="FF00E6DC"/>
      <rgbColor rgb="FF800080"/>
      <rgbColor rgb="FF800000"/>
      <rgbColor rgb="FFD9D9D9"/>
      <rgbColor rgb="FF0000FF"/>
      <rgbColor rgb="FFC5E0B4"/>
      <rgbColor rgb="FFEFF6EA"/>
      <rgbColor rgb="FFE2F0D9"/>
      <rgbColor rgb="FFFFE699"/>
      <rgbColor rgb="FF9DC3E6"/>
      <rgbColor rgb="FFFFA3A3"/>
      <rgbColor rgb="FFBA8BDD"/>
      <rgbColor rgb="FFFFC5C5"/>
      <rgbColor rgb="FF9751CB"/>
      <rgbColor rgb="FFA9D18E"/>
      <rgbColor rgb="FF92D050"/>
      <rgbColor rgb="FFFFC000"/>
      <rgbColor rgb="FFF4B183"/>
      <rgbColor rgb="FFED7D31"/>
      <rgbColor rgb="FF767171"/>
      <rgbColor rgb="FFA6A6A6"/>
      <rgbColor rgb="FF003366"/>
      <rgbColor rgb="FFBDD7EE"/>
      <rgbColor rgb="FF003300"/>
      <rgbColor rgb="FF333300"/>
      <rgbColor rgb="FFFFDD71"/>
      <rgbColor rgb="FF6E2F9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9900"/>
      <color rgb="FF9751CB"/>
      <color rgb="FFCAA5E5"/>
      <color rgb="FFBA8BDD"/>
      <color rgb="FF8EB096"/>
      <color rgb="FFC9D9CD"/>
      <color rgb="FF215F75"/>
      <color rgb="FF319DA5"/>
      <color rgb="FFE1CCF0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nsicht1" id="{AB0DF8C1-EE96-4B5F-B11A-2AC6E2108E01}">
    <nsvFilter filterId="{A7AF5FB4-80B5-490D-99C7-DBD137568980}" ref="A4:CO13" tableId="0"/>
  </namedSheetView>
  <namedSheetView name="Scherer" id="{E19506C5-2C3A-4463-8865-C96E2B5DB276}"/>
</namedSheetView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F5FB4-80B5-490D-99C7-DBD137568980}">
  <sheetPr>
    <outlinePr summaryRight="0"/>
    <pageSetUpPr fitToPage="1"/>
  </sheetPr>
  <dimension ref="A1:CO46"/>
  <sheetViews>
    <sheetView tabSelected="1" zoomScaleNormal="100" workbookViewId="0">
      <pane ySplit="4" topLeftCell="A5" activePane="bottomLeft" state="frozen"/>
      <selection pane="bottomLeft" activeCell="F3" sqref="F3"/>
    </sheetView>
  </sheetViews>
  <sheetFormatPr baseColWidth="10" defaultColWidth="11.44140625" defaultRowHeight="15" customHeight="1" outlineLevelCol="2" x14ac:dyDescent="0.3"/>
  <cols>
    <col min="1" max="1" width="9.109375" customWidth="1"/>
    <col min="2" max="2" width="9.109375" style="1" customWidth="1"/>
    <col min="3" max="5" width="9.109375" style="28" customWidth="1"/>
    <col min="6" max="6" width="73.6640625" bestFit="1" customWidth="1" outlineLevel="2"/>
    <col min="7" max="7" width="20.33203125" customWidth="1" outlineLevel="1"/>
    <col min="8" max="8" width="18.5546875" customWidth="1" outlineLevel="1"/>
    <col min="9" max="9" width="18.5546875" customWidth="1"/>
    <col min="10" max="10" width="13.44140625" style="3" customWidth="1"/>
    <col min="11" max="11" width="13" style="146" customWidth="1"/>
    <col min="12" max="12" width="6.33203125" customWidth="1"/>
    <col min="13" max="13" width="5.44140625" style="3" customWidth="1"/>
    <col min="14" max="14" width="108.33203125" customWidth="1" collapsed="1"/>
    <col min="15" max="15" width="20.88671875" hidden="1" customWidth="1" outlineLevel="1"/>
    <col min="16" max="16" width="17.5546875" customWidth="1" collapsed="1"/>
    <col min="17" max="19" width="17.44140625" hidden="1" customWidth="1" outlineLevel="1"/>
    <col min="20" max="20" width="15.5546875" customWidth="1"/>
    <col min="21" max="21" width="7.44140625" customWidth="1"/>
    <col min="22" max="22" width="10.5546875" customWidth="1" outlineLevel="1"/>
    <col min="23" max="23" width="16.5546875" customWidth="1" outlineLevel="1"/>
    <col min="24" max="24" width="17.44140625" customWidth="1" outlineLevel="1"/>
    <col min="25" max="25" width="10.44140625" customWidth="1" outlineLevel="1"/>
    <col min="26" max="26" width="14.44140625" customWidth="1" outlineLevel="1"/>
    <col min="27" max="27" width="14.5546875" customWidth="1" outlineLevel="1"/>
    <col min="28" max="28" width="16.44140625" customWidth="1" outlineLevel="1"/>
    <col min="29" max="29" width="12.44140625" customWidth="1" outlineLevel="1"/>
    <col min="30" max="30" width="6.44140625" customWidth="1"/>
    <col min="31" max="31" width="29.33203125" bestFit="1" customWidth="1" outlineLevel="1"/>
    <col min="32" max="32" width="76.6640625" bestFit="1" customWidth="1" outlineLevel="1"/>
    <col min="33" max="33" width="10.6640625" bestFit="1" customWidth="1" outlineLevel="1"/>
    <col min="34" max="34" width="6.5546875" customWidth="1" outlineLevel="1"/>
    <col min="35" max="35" width="7.44140625" customWidth="1" outlineLevel="1"/>
    <col min="36" max="36" width="27.44140625" bestFit="1" customWidth="1" outlineLevel="1"/>
    <col min="37" max="37" width="6.44140625" customWidth="1" outlineLevel="1"/>
    <col min="38" max="38" width="8.88671875" bestFit="1" customWidth="1" outlineLevel="1"/>
    <col min="39" max="39" width="7.5546875" customWidth="1" outlineLevel="1"/>
    <col min="40" max="40" width="5.5546875" customWidth="1"/>
    <col min="41" max="41" width="10.44140625" customWidth="1" outlineLevel="1"/>
    <col min="42" max="42" width="7.44140625" customWidth="1" outlineLevel="1"/>
    <col min="43" max="44" width="6.5546875" customWidth="1" outlineLevel="1"/>
    <col min="45" max="45" width="22.44140625" customWidth="1" outlineLevel="1" collapsed="1"/>
    <col min="46" max="46" width="20.5546875" style="1" hidden="1" customWidth="1" outlineLevel="2"/>
    <col min="47" max="47" width="15.44140625" customWidth="1" outlineLevel="1"/>
    <col min="48" max="48" width="11.44140625" customWidth="1" outlineLevel="1"/>
    <col min="49" max="49" width="11.44140625" style="90" customWidth="1" outlineLevel="1"/>
    <col min="50" max="54" width="11.44140625" style="28" customWidth="1" outlineLevel="1"/>
    <col min="55" max="55" width="21.44140625" customWidth="1" outlineLevel="1"/>
    <col min="56" max="56" width="17.5546875" customWidth="1" outlineLevel="1"/>
    <col min="57" max="58" width="11.44140625" style="90" customWidth="1" outlineLevel="1"/>
    <col min="59" max="59" width="48.5546875" customWidth="1" outlineLevel="1"/>
    <col min="60" max="60" width="3.5546875" customWidth="1" collapsed="1"/>
    <col min="61" max="63" width="11.44140625" hidden="1" customWidth="1" outlineLevel="1"/>
    <col min="64" max="64" width="3.5546875" customWidth="1" collapsed="1"/>
    <col min="65" max="65" width="15.44140625" hidden="1" customWidth="1" outlineLevel="1"/>
    <col min="66" max="66" width="17.5546875" hidden="1" customWidth="1" outlineLevel="1"/>
    <col min="67" max="68" width="7.5546875" hidden="1" customWidth="1" outlineLevel="1"/>
    <col min="69" max="69" width="11.44140625" hidden="1" customWidth="1" outlineLevel="1"/>
    <col min="70" max="70" width="5.44140625" hidden="1" customWidth="1" outlineLevel="1"/>
    <col min="71" max="71" width="22.44140625" style="29" hidden="1" customWidth="1" outlineLevel="1"/>
    <col min="72" max="72" width="11.44140625" hidden="1" customWidth="1" outlineLevel="1"/>
    <col min="73" max="74" width="11.44140625" style="1" hidden="1" customWidth="1" outlineLevel="1"/>
    <col min="75" max="75" width="18.44140625" hidden="1" customWidth="1" outlineLevel="1"/>
    <col min="76" max="76" width="13.44140625" hidden="1" customWidth="1" outlineLevel="1"/>
    <col min="77" max="77" width="36.5546875" style="1" hidden="1" customWidth="1" outlineLevel="1"/>
    <col min="78" max="79" width="11.44140625" hidden="1" customWidth="1" outlineLevel="1"/>
    <col min="80" max="81" width="5.5546875" hidden="1" customWidth="1" outlineLevel="1"/>
    <col min="82" max="82" width="86.44140625" hidden="1" customWidth="1" outlineLevel="1"/>
    <col min="83" max="86" width="11.44140625" customWidth="1"/>
    <col min="87" max="88" width="7.44140625" customWidth="1" outlineLevel="1"/>
    <col min="89" max="91" width="6.5546875" customWidth="1" outlineLevel="1"/>
  </cols>
  <sheetData>
    <row r="1" spans="1:93" ht="15" customHeight="1" thickBot="1" x14ac:dyDescent="0.35">
      <c r="A1" s="378" t="s">
        <v>136</v>
      </c>
      <c r="B1" s="379" t="s">
        <v>71</v>
      </c>
      <c r="C1" s="380" t="s">
        <v>72</v>
      </c>
      <c r="D1" s="381" t="s">
        <v>73</v>
      </c>
      <c r="E1" s="382" t="s">
        <v>74</v>
      </c>
      <c r="F1" s="157" t="s">
        <v>75</v>
      </c>
      <c r="G1" s="157" t="s">
        <v>2</v>
      </c>
      <c r="H1" s="157"/>
      <c r="I1" s="383">
        <v>0</v>
      </c>
      <c r="J1" s="383"/>
      <c r="K1" s="383"/>
      <c r="L1" s="383"/>
      <c r="M1" s="384"/>
      <c r="N1" s="385"/>
      <c r="O1" s="383"/>
      <c r="P1" s="383"/>
      <c r="Q1" s="144"/>
      <c r="R1" s="144"/>
      <c r="S1" s="144"/>
      <c r="T1" s="101"/>
      <c r="U1" s="389" t="s">
        <v>76</v>
      </c>
      <c r="V1" s="390" t="s">
        <v>76</v>
      </c>
      <c r="W1" s="390"/>
      <c r="X1" s="390"/>
      <c r="Y1" s="390"/>
      <c r="Z1" s="390"/>
      <c r="AA1" s="390"/>
      <c r="AB1" s="390"/>
      <c r="AC1" s="390"/>
      <c r="AD1" s="391" t="s">
        <v>77</v>
      </c>
      <c r="AE1" s="392" t="s">
        <v>77</v>
      </c>
      <c r="AF1" s="392"/>
      <c r="AG1" s="392"/>
      <c r="AH1" s="392"/>
      <c r="AI1" s="392"/>
      <c r="AJ1" s="392"/>
      <c r="AK1" s="392"/>
      <c r="AL1" s="392"/>
      <c r="AM1" s="392"/>
      <c r="AN1" s="366" t="s">
        <v>78</v>
      </c>
      <c r="AO1" s="85" t="s">
        <v>79</v>
      </c>
      <c r="AP1" s="84"/>
      <c r="AQ1" s="84"/>
      <c r="AR1" s="84"/>
      <c r="AS1" s="45"/>
      <c r="AT1" s="70"/>
      <c r="AU1" s="77" t="s">
        <v>80</v>
      </c>
      <c r="AV1" s="78" t="s">
        <v>80</v>
      </c>
      <c r="AW1" s="99">
        <v>0</v>
      </c>
      <c r="AX1" s="80" t="s">
        <v>80</v>
      </c>
      <c r="AY1" s="80" t="s">
        <v>80</v>
      </c>
      <c r="AZ1" s="80"/>
      <c r="BA1" s="80"/>
      <c r="BB1" s="80"/>
      <c r="BC1" s="77" t="s">
        <v>80</v>
      </c>
      <c r="BD1" s="77" t="s">
        <v>80</v>
      </c>
      <c r="BE1" s="99" t="s">
        <v>80</v>
      </c>
      <c r="BF1" s="99"/>
      <c r="BG1" s="79" t="s">
        <v>80</v>
      </c>
      <c r="BH1" s="377" t="s">
        <v>67</v>
      </c>
      <c r="BI1" s="386"/>
      <c r="BJ1" s="386"/>
      <c r="BK1" s="386"/>
      <c r="BL1" s="375" t="s">
        <v>81</v>
      </c>
      <c r="BM1" s="376" t="s">
        <v>81</v>
      </c>
      <c r="BN1" s="376"/>
      <c r="BO1" s="376"/>
      <c r="BP1" s="376"/>
      <c r="BQ1" s="376"/>
      <c r="BR1" s="376"/>
      <c r="BS1" s="376"/>
      <c r="BT1" s="125"/>
      <c r="BU1" s="98" t="s">
        <v>93</v>
      </c>
      <c r="BV1" s="98"/>
      <c r="BW1" s="98"/>
      <c r="BX1" s="235"/>
      <c r="BY1" s="118"/>
      <c r="BZ1" s="117"/>
      <c r="CA1" s="117"/>
      <c r="CB1" s="117"/>
      <c r="CC1" s="117"/>
      <c r="CD1" s="156">
        <v>45342</v>
      </c>
      <c r="CI1" s="84"/>
      <c r="CJ1" s="84"/>
      <c r="CK1" s="84"/>
      <c r="CL1" s="84"/>
      <c r="CM1" s="84"/>
    </row>
    <row r="2" spans="1:93" ht="66.75" customHeight="1" thickBot="1" x14ac:dyDescent="0.35">
      <c r="A2" s="378"/>
      <c r="B2" s="379"/>
      <c r="C2" s="380"/>
      <c r="D2" s="381"/>
      <c r="E2" s="382"/>
      <c r="F2" s="170" t="s">
        <v>75</v>
      </c>
      <c r="G2" s="171" t="s">
        <v>82</v>
      </c>
      <c r="H2" s="291"/>
      <c r="I2" s="373" t="s">
        <v>5</v>
      </c>
      <c r="J2" s="371" t="s">
        <v>6</v>
      </c>
      <c r="K2" s="238" t="s">
        <v>7</v>
      </c>
      <c r="L2" s="367" t="s">
        <v>94</v>
      </c>
      <c r="M2" s="369" t="s">
        <v>8</v>
      </c>
      <c r="N2" s="387" t="s">
        <v>83</v>
      </c>
      <c r="O2" s="388"/>
      <c r="P2" s="295" t="s">
        <v>9</v>
      </c>
      <c r="Q2" s="166" t="s">
        <v>84</v>
      </c>
      <c r="R2" s="165" t="s">
        <v>85</v>
      </c>
      <c r="S2" s="165" t="s">
        <v>86</v>
      </c>
      <c r="T2" s="166" t="s">
        <v>10</v>
      </c>
      <c r="U2" s="389"/>
      <c r="V2" s="167" t="s">
        <v>3</v>
      </c>
      <c r="W2" s="168" t="s">
        <v>4</v>
      </c>
      <c r="X2" s="161" t="s">
        <v>11</v>
      </c>
      <c r="Y2" s="162" t="s">
        <v>12</v>
      </c>
      <c r="Z2" s="163" t="s">
        <v>13</v>
      </c>
      <c r="AA2" s="164" t="s">
        <v>14</v>
      </c>
      <c r="AB2" s="169" t="s">
        <v>15</v>
      </c>
      <c r="AC2" s="184" t="s">
        <v>16</v>
      </c>
      <c r="AD2" s="391"/>
      <c r="AE2" s="185" t="s">
        <v>17</v>
      </c>
      <c r="AF2" s="173" t="s">
        <v>18</v>
      </c>
      <c r="AG2" s="173" t="s">
        <v>19</v>
      </c>
      <c r="AH2" s="186" t="s">
        <v>20</v>
      </c>
      <c r="AI2" s="173" t="s">
        <v>21</v>
      </c>
      <c r="AJ2" s="393" t="s">
        <v>22</v>
      </c>
      <c r="AK2" s="393"/>
      <c r="AL2" s="174" t="s">
        <v>23</v>
      </c>
      <c r="AM2" s="59" t="s">
        <v>24</v>
      </c>
      <c r="AN2" s="366"/>
      <c r="AO2" s="175" t="s">
        <v>25</v>
      </c>
      <c r="AP2" s="176" t="s">
        <v>26</v>
      </c>
      <c r="AQ2" s="172" t="s">
        <v>27</v>
      </c>
      <c r="AR2" s="172" t="s">
        <v>28</v>
      </c>
      <c r="AS2" s="178" t="s">
        <v>29</v>
      </c>
      <c r="AT2" s="179" t="s">
        <v>30</v>
      </c>
      <c r="AU2" s="180" t="s">
        <v>31</v>
      </c>
      <c r="AV2" s="181" t="s">
        <v>32</v>
      </c>
      <c r="AW2" s="182" t="s">
        <v>33</v>
      </c>
      <c r="AX2" s="183" t="s">
        <v>34</v>
      </c>
      <c r="AY2" s="183" t="s">
        <v>35</v>
      </c>
      <c r="AZ2" s="183" t="s">
        <v>36</v>
      </c>
      <c r="BA2" s="183" t="s">
        <v>37</v>
      </c>
      <c r="BB2" s="183" t="s">
        <v>38</v>
      </c>
      <c r="BC2" s="177" t="s">
        <v>39</v>
      </c>
      <c r="BD2" s="177" t="s">
        <v>40</v>
      </c>
      <c r="BE2" s="182" t="s">
        <v>41</v>
      </c>
      <c r="BF2" s="182" t="s">
        <v>42</v>
      </c>
      <c r="BG2" s="188" t="s">
        <v>43</v>
      </c>
      <c r="BH2" s="377"/>
      <c r="BI2" s="189" t="s">
        <v>87</v>
      </c>
      <c r="BJ2" s="190" t="s">
        <v>88</v>
      </c>
      <c r="BK2" s="191" t="s">
        <v>89</v>
      </c>
      <c r="BL2" s="375"/>
      <c r="BM2" s="192" t="s">
        <v>44</v>
      </c>
      <c r="BN2" s="193" t="s">
        <v>45</v>
      </c>
      <c r="BO2" s="187" t="s">
        <v>46</v>
      </c>
      <c r="BP2" s="187" t="s">
        <v>47</v>
      </c>
      <c r="BQ2" s="194" t="s">
        <v>48</v>
      </c>
      <c r="BR2" s="187" t="s">
        <v>49</v>
      </c>
      <c r="BS2" s="195" t="s">
        <v>50</v>
      </c>
      <c r="BT2" s="196" t="s">
        <v>51</v>
      </c>
      <c r="BU2" s="197" t="s">
        <v>90</v>
      </c>
      <c r="BV2" s="197" t="s">
        <v>52</v>
      </c>
      <c r="BW2" s="198" t="s">
        <v>53</v>
      </c>
      <c r="BX2" s="198" t="s">
        <v>95</v>
      </c>
      <c r="BY2" s="119"/>
      <c r="BZ2" s="119"/>
      <c r="CA2" s="119"/>
      <c r="CB2" s="119" t="s">
        <v>91</v>
      </c>
      <c r="CC2" s="119" t="s">
        <v>91</v>
      </c>
      <c r="CD2" s="119"/>
      <c r="CG2" s="97" t="s">
        <v>92</v>
      </c>
      <c r="CI2" s="176" t="s">
        <v>26</v>
      </c>
      <c r="CJ2" s="176" t="s">
        <v>28</v>
      </c>
      <c r="CK2" s="268" t="s">
        <v>96</v>
      </c>
      <c r="CL2" s="272" t="s">
        <v>97</v>
      </c>
      <c r="CM2" s="270" t="s">
        <v>98</v>
      </c>
      <c r="CN2" s="274" t="s">
        <v>99</v>
      </c>
      <c r="CO2" s="274" t="s">
        <v>100</v>
      </c>
    </row>
    <row r="3" spans="1:93" s="40" customFormat="1" ht="34.5" customHeight="1" thickBot="1" x14ac:dyDescent="0.35">
      <c r="A3" s="298" t="s">
        <v>136</v>
      </c>
      <c r="B3" s="299" t="s">
        <v>71</v>
      </c>
      <c r="C3" s="301" t="s">
        <v>72</v>
      </c>
      <c r="D3" s="302" t="s">
        <v>73</v>
      </c>
      <c r="E3" s="303" t="s">
        <v>74</v>
      </c>
      <c r="F3" s="199" t="s">
        <v>75</v>
      </c>
      <c r="G3" s="200" t="s">
        <v>82</v>
      </c>
      <c r="H3" s="292"/>
      <c r="I3" s="374"/>
      <c r="J3" s="372"/>
      <c r="K3" s="216" t="s">
        <v>7</v>
      </c>
      <c r="L3" s="368"/>
      <c r="M3" s="370"/>
      <c r="N3" s="296" t="s">
        <v>101</v>
      </c>
      <c r="O3" s="297" t="s">
        <v>102</v>
      </c>
      <c r="P3" s="218" t="s">
        <v>9</v>
      </c>
      <c r="Q3" s="217" t="s">
        <v>84</v>
      </c>
      <c r="R3" s="217" t="s">
        <v>85</v>
      </c>
      <c r="S3" s="217" t="s">
        <v>86</v>
      </c>
      <c r="T3" s="218" t="s">
        <v>10</v>
      </c>
      <c r="U3" s="219" t="s">
        <v>76</v>
      </c>
      <c r="V3" s="249" t="s">
        <v>3</v>
      </c>
      <c r="W3" s="250" t="s">
        <v>4</v>
      </c>
      <c r="X3" s="251" t="s">
        <v>11</v>
      </c>
      <c r="Y3" s="252" t="s">
        <v>12</v>
      </c>
      <c r="Z3" s="251" t="s">
        <v>13</v>
      </c>
      <c r="AA3" s="253" t="s">
        <v>14</v>
      </c>
      <c r="AB3" s="253" t="s">
        <v>15</v>
      </c>
      <c r="AC3" s="253" t="s">
        <v>16</v>
      </c>
      <c r="AD3" s="220" t="s">
        <v>77</v>
      </c>
      <c r="AE3" s="243" t="s">
        <v>17</v>
      </c>
      <c r="AF3" s="244" t="s">
        <v>18</v>
      </c>
      <c r="AG3" s="244" t="s">
        <v>19</v>
      </c>
      <c r="AH3" s="245" t="s">
        <v>20</v>
      </c>
      <c r="AI3" s="244" t="s">
        <v>21</v>
      </c>
      <c r="AJ3" s="246" t="s">
        <v>22</v>
      </c>
      <c r="AK3" s="246">
        <v>0</v>
      </c>
      <c r="AL3" s="244" t="s">
        <v>23</v>
      </c>
      <c r="AM3" s="247" t="s">
        <v>24</v>
      </c>
      <c r="AN3" s="221" t="s">
        <v>78</v>
      </c>
      <c r="AO3" s="212" t="s">
        <v>25</v>
      </c>
      <c r="AP3" s="213" t="s">
        <v>26</v>
      </c>
      <c r="AQ3" s="214" t="s">
        <v>27</v>
      </c>
      <c r="AR3" s="234" t="s">
        <v>28</v>
      </c>
      <c r="AS3" s="215" t="s">
        <v>29</v>
      </c>
      <c r="AT3" s="222" t="s">
        <v>30</v>
      </c>
      <c r="AU3" s="223" t="s">
        <v>31</v>
      </c>
      <c r="AV3" s="224" t="s">
        <v>32</v>
      </c>
      <c r="AW3" s="225" t="s">
        <v>33</v>
      </c>
      <c r="AX3" s="226" t="s">
        <v>34</v>
      </c>
      <c r="AY3" s="226" t="s">
        <v>35</v>
      </c>
      <c r="AZ3" s="226" t="s">
        <v>36</v>
      </c>
      <c r="BA3" s="226" t="s">
        <v>37</v>
      </c>
      <c r="BB3" s="226" t="s">
        <v>38</v>
      </c>
      <c r="BC3" s="227" t="s">
        <v>39</v>
      </c>
      <c r="BD3" s="227" t="s">
        <v>40</v>
      </c>
      <c r="BE3" s="225" t="s">
        <v>41</v>
      </c>
      <c r="BF3" s="225" t="s">
        <v>42</v>
      </c>
      <c r="BG3" s="228" t="s">
        <v>43</v>
      </c>
      <c r="BH3" s="229" t="s">
        <v>67</v>
      </c>
      <c r="BI3" s="201" t="s">
        <v>87</v>
      </c>
      <c r="BJ3" s="201" t="s">
        <v>88</v>
      </c>
      <c r="BK3" s="201" t="s">
        <v>89</v>
      </c>
      <c r="BL3" s="230" t="s">
        <v>81</v>
      </c>
      <c r="BM3" s="202" t="s">
        <v>44</v>
      </c>
      <c r="BN3" s="203" t="s">
        <v>45</v>
      </c>
      <c r="BO3" s="204" t="s">
        <v>46</v>
      </c>
      <c r="BP3" s="204" t="s">
        <v>47</v>
      </c>
      <c r="BQ3" s="205" t="s">
        <v>48</v>
      </c>
      <c r="BR3" s="204" t="s">
        <v>49</v>
      </c>
      <c r="BS3" s="206" t="s">
        <v>50</v>
      </c>
      <c r="BT3" s="207" t="s">
        <v>51</v>
      </c>
      <c r="BU3" s="208" t="s">
        <v>90</v>
      </c>
      <c r="BV3" s="208" t="s">
        <v>52</v>
      </c>
      <c r="BW3" s="209" t="s">
        <v>53</v>
      </c>
      <c r="BX3" s="209" t="s">
        <v>103</v>
      </c>
      <c r="BY3" s="210">
        <v>0</v>
      </c>
      <c r="BZ3" s="211">
        <v>0</v>
      </c>
      <c r="CA3" s="210">
        <v>0</v>
      </c>
      <c r="CB3" s="210" t="s">
        <v>91</v>
      </c>
      <c r="CC3" s="210" t="s">
        <v>91</v>
      </c>
      <c r="CD3" s="210">
        <v>0</v>
      </c>
      <c r="CG3" s="231"/>
      <c r="CI3" s="233" t="s">
        <v>26</v>
      </c>
      <c r="CJ3" s="233" t="s">
        <v>28</v>
      </c>
      <c r="CK3" s="269" t="s">
        <v>96</v>
      </c>
      <c r="CL3" s="273" t="s">
        <v>97</v>
      </c>
      <c r="CM3" s="271" t="s">
        <v>98</v>
      </c>
      <c r="CN3" s="275" t="s">
        <v>99</v>
      </c>
      <c r="CO3" s="275" t="s">
        <v>100</v>
      </c>
    </row>
    <row r="4" spans="1:93" s="40" customFormat="1" ht="15" customHeight="1" thickBot="1" x14ac:dyDescent="0.35">
      <c r="A4" s="293">
        <v>0</v>
      </c>
      <c r="B4" s="293">
        <v>0</v>
      </c>
      <c r="C4" s="300">
        <v>0</v>
      </c>
      <c r="D4" s="300">
        <v>0</v>
      </c>
      <c r="E4" s="300">
        <v>0</v>
      </c>
      <c r="F4" s="293" t="s">
        <v>75</v>
      </c>
      <c r="G4" s="293" t="s">
        <v>82</v>
      </c>
      <c r="H4" s="293">
        <v>0</v>
      </c>
      <c r="I4" s="293" t="s">
        <v>5</v>
      </c>
      <c r="J4" s="293" t="s">
        <v>6</v>
      </c>
      <c r="K4" s="293" t="s">
        <v>7</v>
      </c>
      <c r="L4" s="293" t="s">
        <v>94</v>
      </c>
      <c r="M4" s="293" t="s">
        <v>8</v>
      </c>
      <c r="N4" s="294" t="s">
        <v>83</v>
      </c>
      <c r="O4" s="294">
        <v>0</v>
      </c>
      <c r="P4" s="293" t="s">
        <v>9</v>
      </c>
      <c r="Q4" s="293" t="s">
        <v>84</v>
      </c>
      <c r="R4" s="293" t="s">
        <v>85</v>
      </c>
      <c r="S4" s="293" t="s">
        <v>86</v>
      </c>
      <c r="T4" s="293" t="s">
        <v>10</v>
      </c>
      <c r="U4" s="293">
        <v>0</v>
      </c>
      <c r="V4" s="293" t="s">
        <v>3</v>
      </c>
      <c r="W4" s="293" t="s">
        <v>4</v>
      </c>
      <c r="X4" s="293" t="s">
        <v>11</v>
      </c>
      <c r="Y4" s="293" t="s">
        <v>12</v>
      </c>
      <c r="Z4" s="293" t="s">
        <v>13</v>
      </c>
      <c r="AA4" s="293" t="s">
        <v>14</v>
      </c>
      <c r="AB4" s="293" t="s">
        <v>15</v>
      </c>
      <c r="AC4" s="293" t="s">
        <v>16</v>
      </c>
      <c r="AD4" s="293">
        <v>0</v>
      </c>
      <c r="AE4" s="293" t="s">
        <v>17</v>
      </c>
      <c r="AF4" s="293" t="s">
        <v>18</v>
      </c>
      <c r="AG4" s="293" t="s">
        <v>19</v>
      </c>
      <c r="AH4" s="293" t="s">
        <v>20</v>
      </c>
      <c r="AI4" s="293" t="s">
        <v>21</v>
      </c>
      <c r="AJ4" s="293" t="s">
        <v>22</v>
      </c>
      <c r="AK4" s="293">
        <v>0</v>
      </c>
      <c r="AL4" s="293" t="s">
        <v>23</v>
      </c>
      <c r="AM4" s="293" t="s">
        <v>24</v>
      </c>
      <c r="AN4" s="293">
        <v>0</v>
      </c>
      <c r="AO4" s="293" t="s">
        <v>25</v>
      </c>
      <c r="AP4" s="293" t="s">
        <v>26</v>
      </c>
      <c r="AQ4" s="293" t="s">
        <v>27</v>
      </c>
      <c r="AR4" s="293" t="s">
        <v>28</v>
      </c>
      <c r="AS4" s="293" t="s">
        <v>29</v>
      </c>
      <c r="AT4" s="293" t="s">
        <v>30</v>
      </c>
      <c r="AU4" s="293" t="s">
        <v>31</v>
      </c>
      <c r="AV4" s="293" t="s">
        <v>32</v>
      </c>
      <c r="AW4" s="293" t="s">
        <v>33</v>
      </c>
      <c r="AX4" s="293" t="s">
        <v>34</v>
      </c>
      <c r="AY4" s="293" t="s">
        <v>35</v>
      </c>
      <c r="AZ4" s="293" t="s">
        <v>36</v>
      </c>
      <c r="BA4" s="293" t="s">
        <v>37</v>
      </c>
      <c r="BB4" s="293" t="s">
        <v>38</v>
      </c>
      <c r="BC4" s="293" t="s">
        <v>39</v>
      </c>
      <c r="BD4" s="293" t="s">
        <v>40</v>
      </c>
      <c r="BE4" s="293" t="s">
        <v>41</v>
      </c>
      <c r="BF4" s="293" t="s">
        <v>42</v>
      </c>
      <c r="BG4" s="293" t="s">
        <v>43</v>
      </c>
      <c r="BH4" s="293">
        <v>0</v>
      </c>
      <c r="BI4" s="293" t="s">
        <v>87</v>
      </c>
      <c r="BJ4" s="293" t="s">
        <v>88</v>
      </c>
      <c r="BK4" s="293" t="s">
        <v>89</v>
      </c>
      <c r="BL4" s="293">
        <v>0</v>
      </c>
      <c r="BM4" s="293" t="s">
        <v>44</v>
      </c>
      <c r="BN4" s="293" t="s">
        <v>45</v>
      </c>
      <c r="BO4" s="293" t="s">
        <v>46</v>
      </c>
      <c r="BP4" s="293" t="s">
        <v>47</v>
      </c>
      <c r="BQ4" s="293" t="s">
        <v>48</v>
      </c>
      <c r="BR4" s="293" t="s">
        <v>49</v>
      </c>
      <c r="BS4" s="293" t="s">
        <v>50</v>
      </c>
      <c r="BT4" s="293" t="s">
        <v>51</v>
      </c>
      <c r="BU4" s="293" t="s">
        <v>90</v>
      </c>
      <c r="BV4" s="293" t="s">
        <v>52</v>
      </c>
      <c r="BW4" s="293" t="s">
        <v>53</v>
      </c>
      <c r="BX4" s="293" t="s">
        <v>95</v>
      </c>
      <c r="BY4" s="293">
        <v>0</v>
      </c>
      <c r="BZ4" s="293">
        <v>0</v>
      </c>
      <c r="CA4" s="293">
        <v>0</v>
      </c>
      <c r="CB4" s="293" t="s">
        <v>91</v>
      </c>
      <c r="CC4" s="293" t="s">
        <v>91</v>
      </c>
      <c r="CD4" s="293">
        <v>0</v>
      </c>
      <c r="CE4" s="293">
        <v>0</v>
      </c>
      <c r="CF4" s="293">
        <v>0</v>
      </c>
      <c r="CG4" s="293" t="s">
        <v>92</v>
      </c>
      <c r="CH4" s="293">
        <v>0</v>
      </c>
      <c r="CI4" s="293" t="s">
        <v>26</v>
      </c>
      <c r="CJ4" s="293" t="s">
        <v>28</v>
      </c>
      <c r="CK4" s="293" t="s">
        <v>96</v>
      </c>
      <c r="CL4" s="293" t="s">
        <v>97</v>
      </c>
      <c r="CM4" s="293" t="s">
        <v>98</v>
      </c>
      <c r="CN4" s="293" t="s">
        <v>99</v>
      </c>
      <c r="CO4" s="293" t="s">
        <v>100</v>
      </c>
    </row>
    <row r="5" spans="1:93" s="39" customFormat="1" ht="15" customHeight="1" x14ac:dyDescent="0.3">
      <c r="A5" s="255"/>
      <c r="B5" s="143">
        <v>1</v>
      </c>
      <c r="C5" s="68"/>
      <c r="D5" s="47"/>
      <c r="E5" s="54"/>
      <c r="F5" s="254" t="s">
        <v>135</v>
      </c>
      <c r="G5" s="236" t="s">
        <v>137</v>
      </c>
      <c r="H5" s="236"/>
      <c r="I5" s="236" t="s">
        <v>138</v>
      </c>
      <c r="J5" s="55"/>
      <c r="K5" s="276"/>
      <c r="L5" s="236"/>
      <c r="M5" s="277" t="s">
        <v>139</v>
      </c>
      <c r="N5" s="94" t="s">
        <v>140</v>
      </c>
      <c r="O5" s="94"/>
      <c r="P5" s="75"/>
      <c r="Q5" s="75" t="s">
        <v>55</v>
      </c>
      <c r="R5" s="75" t="s">
        <v>55</v>
      </c>
      <c r="S5" s="75" t="s">
        <v>55</v>
      </c>
      <c r="T5" s="145" t="e">
        <v>#REF!</v>
      </c>
      <c r="U5" s="103"/>
      <c r="V5" s="94"/>
      <c r="W5" s="31"/>
      <c r="X5" s="31"/>
      <c r="Y5" s="304"/>
      <c r="Z5" s="31"/>
      <c r="AA5" s="30"/>
      <c r="AB5" s="32"/>
      <c r="AC5" s="94"/>
      <c r="AD5" s="52"/>
      <c r="AE5" s="94" t="s">
        <v>58</v>
      </c>
      <c r="AF5" s="42" t="s">
        <v>0</v>
      </c>
      <c r="AG5" s="43" t="s">
        <v>0</v>
      </c>
      <c r="AH5" s="43" t="s">
        <v>0</v>
      </c>
      <c r="AI5" s="43">
        <v>1</v>
      </c>
      <c r="AJ5" s="36" t="s">
        <v>0</v>
      </c>
      <c r="AK5" s="305" t="e">
        <v>#REF!</v>
      </c>
      <c r="AL5" s="150" t="s">
        <v>0</v>
      </c>
      <c r="AM5" s="96" t="s">
        <v>0</v>
      </c>
      <c r="AN5" s="53"/>
      <c r="AO5" s="88" t="s">
        <v>68</v>
      </c>
      <c r="AP5" s="278"/>
      <c r="AQ5" s="33"/>
      <c r="AR5" s="33"/>
      <c r="AS5" s="51"/>
      <c r="AT5" s="279">
        <v>18</v>
      </c>
      <c r="AU5" s="47"/>
      <c r="AV5" s="283"/>
      <c r="AW5" s="285"/>
      <c r="AX5" s="287"/>
      <c r="AY5" s="287"/>
      <c r="AZ5" s="287"/>
      <c r="BA5" s="287"/>
      <c r="BB5" s="287"/>
      <c r="BC5" s="51"/>
      <c r="BD5" s="51"/>
      <c r="BE5" s="285"/>
      <c r="BF5" s="285"/>
      <c r="BG5" s="94"/>
      <c r="BH5" s="53"/>
      <c r="BI5" s="290">
        <v>45177</v>
      </c>
      <c r="BJ5" s="290" t="s">
        <v>0</v>
      </c>
      <c r="BK5" s="94"/>
      <c r="BL5" s="53"/>
      <c r="BM5" s="34" t="s">
        <v>0</v>
      </c>
      <c r="BN5" s="35" t="s">
        <v>0</v>
      </c>
      <c r="BO5" s="89" t="e">
        <v>#REF!</v>
      </c>
      <c r="BP5" s="89" t="e">
        <v>#REF!</v>
      </c>
      <c r="BQ5" s="35" t="s">
        <v>0</v>
      </c>
      <c r="BR5" s="35" t="s">
        <v>0</v>
      </c>
      <c r="BS5" s="35" t="s">
        <v>0</v>
      </c>
      <c r="BT5" s="306" t="s">
        <v>54</v>
      </c>
      <c r="BU5" s="307" t="e">
        <v>#REF!</v>
      </c>
      <c r="BV5" s="307">
        <v>0</v>
      </c>
      <c r="BW5" s="307"/>
      <c r="BX5" s="307"/>
      <c r="BY5" s="307" t="e">
        <v>#REF!</v>
      </c>
      <c r="BZ5" s="158"/>
      <c r="CA5" s="158"/>
      <c r="CB5" s="158"/>
      <c r="CC5" s="158"/>
      <c r="CD5" s="158" t="s">
        <v>0</v>
      </c>
      <c r="CH5" s="120"/>
      <c r="CI5" s="151"/>
      <c r="CJ5" s="151"/>
      <c r="CK5" s="151"/>
      <c r="CL5" s="151"/>
      <c r="CM5" s="151"/>
      <c r="CN5" s="308" t="s">
        <v>0</v>
      </c>
      <c r="CO5" s="120"/>
    </row>
    <row r="6" spans="1:93" s="120" customFormat="1" ht="15" customHeight="1" x14ac:dyDescent="0.3">
      <c r="A6" s="114"/>
      <c r="B6" s="143">
        <v>2</v>
      </c>
      <c r="C6" s="147"/>
      <c r="D6" s="148"/>
      <c r="E6" s="149"/>
      <c r="F6" s="309" t="s">
        <v>114</v>
      </c>
      <c r="G6" s="310" t="s">
        <v>141</v>
      </c>
      <c r="H6" s="310"/>
      <c r="I6" s="310" t="s">
        <v>142</v>
      </c>
      <c r="J6" s="311"/>
      <c r="K6" s="312"/>
      <c r="L6" s="313"/>
      <c r="M6" s="314" t="s">
        <v>143</v>
      </c>
      <c r="N6" s="315" t="s">
        <v>144</v>
      </c>
      <c r="O6" s="316"/>
      <c r="P6" s="75"/>
      <c r="Q6" s="75" t="s">
        <v>104</v>
      </c>
      <c r="R6" s="75" t="s">
        <v>104</v>
      </c>
      <c r="S6" s="75" t="s">
        <v>104</v>
      </c>
      <c r="T6" s="104" t="e">
        <v>#REF!</v>
      </c>
      <c r="U6" s="317"/>
      <c r="V6" s="315"/>
      <c r="W6" s="318"/>
      <c r="X6" s="318"/>
      <c r="Y6" s="319"/>
      <c r="Z6" s="318"/>
      <c r="AA6" s="320"/>
      <c r="AB6" s="262"/>
      <c r="AC6" s="316"/>
      <c r="AD6" s="5"/>
      <c r="AE6" s="315" t="s">
        <v>115</v>
      </c>
      <c r="AF6" s="318" t="s">
        <v>121</v>
      </c>
      <c r="AG6" s="321" t="s">
        <v>124</v>
      </c>
      <c r="AH6" s="321" t="s">
        <v>127</v>
      </c>
      <c r="AI6" s="321">
        <v>1</v>
      </c>
      <c r="AJ6" s="320"/>
      <c r="AK6" s="322" t="e">
        <v>#REF!</v>
      </c>
      <c r="AL6" s="323">
        <v>8.3000000000000004E-2</v>
      </c>
      <c r="AM6" s="264">
        <v>8.3000000000000004E-2</v>
      </c>
      <c r="AN6" s="324"/>
      <c r="AO6" s="265" t="s">
        <v>56</v>
      </c>
      <c r="AP6" s="266"/>
      <c r="AQ6" s="266"/>
      <c r="AR6" s="266"/>
      <c r="AS6" s="152"/>
      <c r="AT6" s="325">
        <v>8</v>
      </c>
      <c r="AU6" s="263"/>
      <c r="AV6" s="326"/>
      <c r="AW6" s="327"/>
      <c r="AX6" s="328"/>
      <c r="AY6" s="328"/>
      <c r="AZ6" s="328"/>
      <c r="BA6" s="328"/>
      <c r="BB6" s="328"/>
      <c r="BC6" s="263"/>
      <c r="BD6" s="263"/>
      <c r="BE6" s="327"/>
      <c r="BF6" s="329"/>
      <c r="BG6" s="330"/>
      <c r="BH6" s="6"/>
      <c r="BI6" s="331">
        <v>45180</v>
      </c>
      <c r="BJ6" s="332">
        <v>45180</v>
      </c>
      <c r="BK6" s="316"/>
      <c r="BL6" s="6"/>
      <c r="BM6" s="331" t="s">
        <v>0</v>
      </c>
      <c r="BN6" s="7" t="s">
        <v>0</v>
      </c>
      <c r="BO6" s="333" t="e">
        <v>#REF!</v>
      </c>
      <c r="BP6" s="333" t="e">
        <v>#REF!</v>
      </c>
      <c r="BQ6" s="332" t="s">
        <v>0</v>
      </c>
      <c r="BR6" s="332" t="s">
        <v>54</v>
      </c>
      <c r="BS6" s="332" t="s">
        <v>0</v>
      </c>
      <c r="BT6" s="334" t="s">
        <v>54</v>
      </c>
      <c r="BU6" s="335" t="e">
        <v>#REF!</v>
      </c>
      <c r="BV6" s="335">
        <v>0</v>
      </c>
      <c r="BW6" s="335"/>
      <c r="BX6" s="335"/>
      <c r="BY6" s="335" t="s">
        <v>0</v>
      </c>
      <c r="BZ6" s="158"/>
      <c r="CA6" s="336"/>
      <c r="CB6" s="336"/>
      <c r="CC6" s="336"/>
      <c r="CD6" s="336" t="s">
        <v>0</v>
      </c>
      <c r="CE6" s="39"/>
      <c r="CF6" s="39"/>
      <c r="CG6" s="39"/>
      <c r="CH6" s="39"/>
      <c r="CI6" s="26"/>
      <c r="CJ6" s="26"/>
      <c r="CK6" s="26"/>
      <c r="CL6" s="26"/>
      <c r="CM6" s="26"/>
      <c r="CN6" s="39"/>
      <c r="CO6" s="39"/>
    </row>
    <row r="7" spans="1:93" s="39" customFormat="1" ht="15" customHeight="1" x14ac:dyDescent="0.3">
      <c r="A7" s="232"/>
      <c r="B7" s="143">
        <v>3</v>
      </c>
      <c r="C7" s="69"/>
      <c r="D7" s="73"/>
      <c r="E7" s="74"/>
      <c r="F7" s="141" t="s">
        <v>129</v>
      </c>
      <c r="G7" s="142" t="s">
        <v>137</v>
      </c>
      <c r="H7" s="142"/>
      <c r="I7" s="142" t="s">
        <v>138</v>
      </c>
      <c r="J7" s="74"/>
      <c r="K7" s="239"/>
      <c r="L7" s="142"/>
      <c r="M7" s="50" t="s">
        <v>139</v>
      </c>
      <c r="N7" s="127" t="s">
        <v>145</v>
      </c>
      <c r="O7" s="128"/>
      <c r="P7" s="75"/>
      <c r="Q7" s="75" t="s">
        <v>55</v>
      </c>
      <c r="R7" s="75" t="s">
        <v>55</v>
      </c>
      <c r="S7" s="75" t="s">
        <v>55</v>
      </c>
      <c r="T7" s="122" t="e">
        <v>#REF!</v>
      </c>
      <c r="U7" s="126"/>
      <c r="V7" s="127"/>
      <c r="W7" s="9"/>
      <c r="X7" s="9"/>
      <c r="Y7" s="38"/>
      <c r="Z7" s="9"/>
      <c r="AA7" s="8"/>
      <c r="AB7" s="9"/>
      <c r="AC7" s="128"/>
      <c r="AD7" s="129"/>
      <c r="AE7" s="127" t="s">
        <v>116</v>
      </c>
      <c r="AF7" s="9" t="s">
        <v>1</v>
      </c>
      <c r="AG7" s="37" t="s">
        <v>124</v>
      </c>
      <c r="AH7" s="37">
        <v>0</v>
      </c>
      <c r="AI7" s="37">
        <v>1</v>
      </c>
      <c r="AJ7" s="8"/>
      <c r="AK7" s="130" t="e">
        <v>#REF!</v>
      </c>
      <c r="AL7" s="131">
        <v>0.02</v>
      </c>
      <c r="AM7" s="95">
        <v>0.02</v>
      </c>
      <c r="AN7" s="132"/>
      <c r="AO7" s="86" t="s">
        <v>56</v>
      </c>
      <c r="AP7" s="26"/>
      <c r="AQ7" s="26"/>
      <c r="AR7" s="26"/>
      <c r="AS7" s="26"/>
      <c r="AT7" s="72" t="s">
        <v>57</v>
      </c>
      <c r="AU7" s="282"/>
      <c r="AV7" s="284"/>
      <c r="AW7" s="286"/>
      <c r="AX7" s="288"/>
      <c r="AY7" s="288"/>
      <c r="AZ7" s="288"/>
      <c r="BA7" s="288"/>
      <c r="BB7" s="289"/>
      <c r="BC7" s="337"/>
      <c r="BD7" s="8"/>
      <c r="BE7" s="134"/>
      <c r="BF7" s="136"/>
      <c r="BG7" s="128"/>
      <c r="BH7" s="132"/>
      <c r="BI7" s="137">
        <v>45180</v>
      </c>
      <c r="BJ7" s="135">
        <v>45180</v>
      </c>
      <c r="BK7" s="128"/>
      <c r="BL7" s="132"/>
      <c r="BM7" s="137" t="s">
        <v>62</v>
      </c>
      <c r="BN7" s="135" t="s">
        <v>63</v>
      </c>
      <c r="BO7" s="338" t="e">
        <v>#REF!</v>
      </c>
      <c r="BP7" s="83" t="e">
        <v>#REF!</v>
      </c>
      <c r="BQ7" s="135" t="s">
        <v>61</v>
      </c>
      <c r="BR7" s="138" t="s">
        <v>0</v>
      </c>
      <c r="BS7" s="8" t="s">
        <v>64</v>
      </c>
      <c r="BT7" s="139" t="s">
        <v>54</v>
      </c>
      <c r="BU7" s="140" t="e">
        <v>#REF!</v>
      </c>
      <c r="BV7" s="140">
        <v>0</v>
      </c>
      <c r="BW7" s="140"/>
      <c r="BX7" s="140" t="s">
        <v>54</v>
      </c>
      <c r="BY7" s="140" t="e">
        <v>#REF!</v>
      </c>
      <c r="BZ7" s="123"/>
      <c r="CA7" s="158" t="e">
        <v>#REF!</v>
      </c>
      <c r="CB7" s="158"/>
      <c r="CC7" s="158"/>
      <c r="CD7" s="123" t="s">
        <v>65</v>
      </c>
      <c r="CF7" s="121"/>
      <c r="CG7" s="121"/>
      <c r="CI7" s="256"/>
      <c r="CJ7" s="256"/>
      <c r="CK7" s="256"/>
      <c r="CL7" s="256"/>
      <c r="CM7" s="256"/>
      <c r="CN7" s="308" t="s">
        <v>0</v>
      </c>
    </row>
    <row r="8" spans="1:93" s="39" customFormat="1" ht="15" customHeight="1" x14ac:dyDescent="0.3">
      <c r="A8" s="232"/>
      <c r="B8" s="143">
        <v>4</v>
      </c>
      <c r="C8" s="69"/>
      <c r="D8" s="73"/>
      <c r="E8" s="74"/>
      <c r="F8" s="141" t="s">
        <v>130</v>
      </c>
      <c r="G8" s="142" t="s">
        <v>137</v>
      </c>
      <c r="H8" s="142"/>
      <c r="I8" s="142" t="s">
        <v>138</v>
      </c>
      <c r="J8" s="74"/>
      <c r="K8" s="239"/>
      <c r="L8" s="142"/>
      <c r="M8" s="50" t="s">
        <v>139</v>
      </c>
      <c r="N8" s="127" t="s">
        <v>146</v>
      </c>
      <c r="O8" s="128"/>
      <c r="P8" s="75"/>
      <c r="Q8" s="75" t="s">
        <v>55</v>
      </c>
      <c r="R8" s="75" t="s">
        <v>55</v>
      </c>
      <c r="S8" s="75" t="s">
        <v>55</v>
      </c>
      <c r="T8" s="122" t="e">
        <v>#REF!</v>
      </c>
      <c r="U8" s="126"/>
      <c r="V8" s="127"/>
      <c r="W8" s="9"/>
      <c r="X8" s="9"/>
      <c r="Y8" s="38"/>
      <c r="Z8" s="9"/>
      <c r="AA8" s="8"/>
      <c r="AB8" s="9"/>
      <c r="AC8" s="128"/>
      <c r="AD8" s="129"/>
      <c r="AE8" s="127" t="s">
        <v>117</v>
      </c>
      <c r="AF8" s="9" t="s">
        <v>122</v>
      </c>
      <c r="AG8" s="37">
        <v>7850</v>
      </c>
      <c r="AH8" s="37">
        <v>0</v>
      </c>
      <c r="AI8" s="37">
        <v>2</v>
      </c>
      <c r="AJ8" s="8"/>
      <c r="AK8" s="130" t="s">
        <v>0</v>
      </c>
      <c r="AL8" s="131">
        <v>0.41199999999999998</v>
      </c>
      <c r="AM8" s="95">
        <v>0.82399999999999995</v>
      </c>
      <c r="AN8" s="132"/>
      <c r="AO8" s="86" t="s">
        <v>56</v>
      </c>
      <c r="AP8" s="26"/>
      <c r="AQ8" s="26"/>
      <c r="AR8" s="26"/>
      <c r="AS8" s="4"/>
      <c r="AT8" s="257" t="s">
        <v>57</v>
      </c>
      <c r="AU8" s="8"/>
      <c r="AV8" s="133"/>
      <c r="AW8" s="134"/>
      <c r="AX8" s="92"/>
      <c r="AY8" s="92"/>
      <c r="AZ8" s="92"/>
      <c r="BA8" s="92"/>
      <c r="BB8" s="160"/>
      <c r="BC8" s="8"/>
      <c r="BD8" s="26"/>
      <c r="BE8" s="134"/>
      <c r="BF8" s="136"/>
      <c r="BG8" s="136"/>
      <c r="BH8" s="132"/>
      <c r="BI8" s="137"/>
      <c r="BJ8" s="135"/>
      <c r="BK8" s="128"/>
      <c r="BL8" s="132"/>
      <c r="BM8" s="137" t="s">
        <v>59</v>
      </c>
      <c r="BN8" s="135" t="s">
        <v>60</v>
      </c>
      <c r="BO8" s="92" t="e">
        <v>#REF!</v>
      </c>
      <c r="BP8" s="92" t="e">
        <v>#REF!</v>
      </c>
      <c r="BQ8" s="135" t="s">
        <v>61</v>
      </c>
      <c r="BR8" s="135" t="s">
        <v>54</v>
      </c>
      <c r="BS8" s="267" t="s">
        <v>70</v>
      </c>
      <c r="BT8" s="139" t="s">
        <v>0</v>
      </c>
      <c r="BU8" s="140" t="e">
        <v>#REF!</v>
      </c>
      <c r="BV8" s="140">
        <v>0</v>
      </c>
      <c r="BW8" s="140"/>
      <c r="BX8" s="140" t="s">
        <v>54</v>
      </c>
      <c r="BY8" s="339" t="e">
        <v>#REF!</v>
      </c>
      <c r="BZ8" s="123"/>
      <c r="CA8" s="158" t="e">
        <v>#REF!</v>
      </c>
      <c r="CB8" s="158"/>
      <c r="CC8" s="158"/>
      <c r="CD8" s="123" t="s">
        <v>0</v>
      </c>
      <c r="CF8" s="121"/>
      <c r="CG8" s="121"/>
      <c r="CI8" s="10"/>
      <c r="CJ8" s="10"/>
      <c r="CK8" s="10"/>
      <c r="CL8" s="10"/>
      <c r="CM8" s="10"/>
      <c r="CN8" s="308" t="s">
        <v>0</v>
      </c>
    </row>
    <row r="9" spans="1:93" s="39" customFormat="1" ht="15" customHeight="1" x14ac:dyDescent="0.3">
      <c r="A9" s="114"/>
      <c r="B9" s="143">
        <v>5</v>
      </c>
      <c r="C9" s="67"/>
      <c r="D9" s="46"/>
      <c r="E9" s="57"/>
      <c r="F9" s="58" t="s">
        <v>131</v>
      </c>
      <c r="G9" s="124" t="s">
        <v>137</v>
      </c>
      <c r="H9" s="124"/>
      <c r="I9" s="124" t="s">
        <v>138</v>
      </c>
      <c r="J9" s="242"/>
      <c r="K9" s="240"/>
      <c r="L9" s="340"/>
      <c r="M9" s="237" t="s">
        <v>139</v>
      </c>
      <c r="N9" s="16" t="s">
        <v>147</v>
      </c>
      <c r="O9" s="23"/>
      <c r="P9" s="75"/>
      <c r="Q9" s="75" t="s">
        <v>104</v>
      </c>
      <c r="R9" s="75" t="s">
        <v>104</v>
      </c>
      <c r="S9" s="75" t="s">
        <v>104</v>
      </c>
      <c r="T9" s="104" t="e">
        <v>#REF!</v>
      </c>
      <c r="U9" s="102"/>
      <c r="V9" s="16"/>
      <c r="W9" s="12"/>
      <c r="X9" s="12"/>
      <c r="Y9" s="341"/>
      <c r="Z9" s="12"/>
      <c r="AA9" s="15"/>
      <c r="AB9" s="11"/>
      <c r="AC9" s="23"/>
      <c r="AD9" s="17"/>
      <c r="AE9" s="16" t="s">
        <v>118</v>
      </c>
      <c r="AF9" s="11" t="s">
        <v>122</v>
      </c>
      <c r="AG9" s="18">
        <v>7850</v>
      </c>
      <c r="AH9" s="18">
        <v>0</v>
      </c>
      <c r="AI9" s="18">
        <v>5</v>
      </c>
      <c r="AJ9" s="15"/>
      <c r="AK9" s="342" t="e">
        <v>#REF!</v>
      </c>
      <c r="AL9" s="19">
        <v>3.8090000000000002</v>
      </c>
      <c r="AM9" s="91">
        <v>19.045000000000002</v>
      </c>
      <c r="AN9" s="20"/>
      <c r="AO9" s="87" t="s">
        <v>56</v>
      </c>
      <c r="AP9" s="25"/>
      <c r="AQ9" s="25"/>
      <c r="AR9" s="25"/>
      <c r="AS9" s="14"/>
      <c r="AT9" s="280">
        <v>68</v>
      </c>
      <c r="AU9" s="13"/>
      <c r="AV9" s="343"/>
      <c r="AW9" s="100"/>
      <c r="AX9" s="81"/>
      <c r="AY9" s="81"/>
      <c r="AZ9" s="81"/>
      <c r="BA9" s="81"/>
      <c r="BB9" s="81"/>
      <c r="BC9" s="13"/>
      <c r="BD9" s="25"/>
      <c r="BE9" s="100"/>
      <c r="BF9" s="344"/>
      <c r="BG9" s="27"/>
      <c r="BH9" s="20"/>
      <c r="BI9" s="21">
        <v>45180</v>
      </c>
      <c r="BJ9" s="22">
        <v>45180</v>
      </c>
      <c r="BK9" s="23"/>
      <c r="BL9" s="20"/>
      <c r="BM9" s="21" t="s">
        <v>0</v>
      </c>
      <c r="BN9" s="345" t="s">
        <v>0</v>
      </c>
      <c r="BO9" s="83" t="e">
        <v>#REF!</v>
      </c>
      <c r="BP9" s="83" t="e">
        <v>#REF!</v>
      </c>
      <c r="BQ9" s="22" t="s">
        <v>0</v>
      </c>
      <c r="BR9" s="22" t="s">
        <v>54</v>
      </c>
      <c r="BS9" s="346" t="s">
        <v>0</v>
      </c>
      <c r="BT9" s="347" t="s">
        <v>0</v>
      </c>
      <c r="BU9" s="339" t="e">
        <v>#REF!</v>
      </c>
      <c r="BV9" s="339">
        <v>0</v>
      </c>
      <c r="BW9" s="339"/>
      <c r="BX9" s="339"/>
      <c r="BY9" s="339" t="s">
        <v>0</v>
      </c>
      <c r="BZ9" s="158"/>
      <c r="CA9" s="158"/>
      <c r="CB9" s="158"/>
      <c r="CC9" s="158"/>
      <c r="CD9" s="158" t="s">
        <v>0</v>
      </c>
      <c r="CI9" s="25"/>
      <c r="CJ9" s="25"/>
      <c r="CK9" s="25"/>
      <c r="CL9" s="25"/>
      <c r="CM9" s="25"/>
    </row>
    <row r="10" spans="1:93" s="39" customFormat="1" ht="15" customHeight="1" x14ac:dyDescent="0.3">
      <c r="A10" s="114"/>
      <c r="B10" s="143">
        <v>6</v>
      </c>
      <c r="C10" s="348"/>
      <c r="D10" s="48"/>
      <c r="E10" s="56"/>
      <c r="F10" s="60" t="s">
        <v>132</v>
      </c>
      <c r="G10" s="66" t="s">
        <v>137</v>
      </c>
      <c r="H10" s="66"/>
      <c r="I10" s="66" t="s">
        <v>138</v>
      </c>
      <c r="J10" s="56"/>
      <c r="K10" s="241"/>
      <c r="L10" s="66"/>
      <c r="M10" s="106" t="s">
        <v>139</v>
      </c>
      <c r="N10" s="49" t="s">
        <v>148</v>
      </c>
      <c r="O10" s="93"/>
      <c r="P10" s="75"/>
      <c r="Q10" s="75" t="s">
        <v>104</v>
      </c>
      <c r="R10" s="75" t="s">
        <v>104</v>
      </c>
      <c r="S10" s="75" t="s">
        <v>104</v>
      </c>
      <c r="T10" s="104" t="e">
        <v>#REF!</v>
      </c>
      <c r="U10" s="107"/>
      <c r="V10" s="49"/>
      <c r="W10" s="44"/>
      <c r="X10" s="44"/>
      <c r="Y10" s="349"/>
      <c r="Z10" s="44"/>
      <c r="AA10" s="61"/>
      <c r="AB10" s="44"/>
      <c r="AC10" s="93"/>
      <c r="AD10" s="62"/>
      <c r="AE10" s="49" t="s">
        <v>119</v>
      </c>
      <c r="AF10" s="44" t="s">
        <v>122</v>
      </c>
      <c r="AG10" s="63" t="s">
        <v>125</v>
      </c>
      <c r="AH10" s="63">
        <v>0</v>
      </c>
      <c r="AI10" s="63">
        <v>1</v>
      </c>
      <c r="AJ10" s="108"/>
      <c r="AK10" s="109" t="e">
        <v>#REF!</v>
      </c>
      <c r="AL10" s="64">
        <v>0.28799999999999998</v>
      </c>
      <c r="AM10" s="350">
        <v>0.28799999999999998</v>
      </c>
      <c r="AN10" s="65"/>
      <c r="AO10" s="110" t="s">
        <v>56</v>
      </c>
      <c r="AP10" s="105"/>
      <c r="AQ10" s="105"/>
      <c r="AR10" s="105"/>
      <c r="AS10" s="153"/>
      <c r="AT10" s="71"/>
      <c r="AU10" s="258"/>
      <c r="AV10" s="259"/>
      <c r="AW10" s="260"/>
      <c r="AX10" s="261"/>
      <c r="AY10" s="261"/>
      <c r="AZ10" s="261"/>
      <c r="BA10" s="261"/>
      <c r="BB10" s="261"/>
      <c r="BC10" s="258"/>
      <c r="BD10" s="61"/>
      <c r="BE10" s="112"/>
      <c r="BF10" s="155"/>
      <c r="BG10" s="76"/>
      <c r="BH10" s="65"/>
      <c r="BI10" s="113" t="s">
        <v>0</v>
      </c>
      <c r="BJ10" s="351" t="s">
        <v>0</v>
      </c>
      <c r="BK10" s="76"/>
      <c r="BL10" s="65"/>
      <c r="BM10" s="113" t="s">
        <v>0</v>
      </c>
      <c r="BN10" s="352" t="s">
        <v>0</v>
      </c>
      <c r="BO10" s="82" t="e">
        <v>#REF!</v>
      </c>
      <c r="BP10" s="82" t="e">
        <v>#REF!</v>
      </c>
      <c r="BQ10" s="351" t="s">
        <v>0</v>
      </c>
      <c r="BR10" s="351" t="s">
        <v>0</v>
      </c>
      <c r="BS10" s="351" t="s">
        <v>0</v>
      </c>
      <c r="BT10" s="353" t="s">
        <v>0</v>
      </c>
      <c r="BU10" s="111" t="e">
        <v>#REF!</v>
      </c>
      <c r="BV10" s="111">
        <v>0</v>
      </c>
      <c r="BW10" s="111"/>
      <c r="BX10" s="111"/>
      <c r="BY10" s="111" t="s">
        <v>0</v>
      </c>
      <c r="BZ10" s="158"/>
      <c r="CA10" s="158"/>
      <c r="CB10" s="158"/>
      <c r="CC10" s="158"/>
      <c r="CD10" s="158" t="s">
        <v>0</v>
      </c>
      <c r="CI10" s="105"/>
      <c r="CJ10" s="105"/>
      <c r="CK10" s="105"/>
      <c r="CL10" s="105"/>
      <c r="CM10" s="105"/>
    </row>
    <row r="11" spans="1:93" s="39" customFormat="1" ht="15" customHeight="1" x14ac:dyDescent="0.3">
      <c r="A11" s="114"/>
      <c r="B11" s="143">
        <v>7</v>
      </c>
      <c r="C11" s="67"/>
      <c r="D11" s="46"/>
      <c r="E11" s="57"/>
      <c r="F11" s="58" t="s">
        <v>133</v>
      </c>
      <c r="G11" s="124" t="s">
        <v>137</v>
      </c>
      <c r="H11" s="124"/>
      <c r="I11" s="124" t="s">
        <v>138</v>
      </c>
      <c r="J11" s="242"/>
      <c r="K11" s="240"/>
      <c r="L11" s="340"/>
      <c r="M11" s="237" t="s">
        <v>139</v>
      </c>
      <c r="N11" s="16" t="s">
        <v>149</v>
      </c>
      <c r="O11" s="23"/>
      <c r="P11" s="75"/>
      <c r="Q11" s="75" t="s">
        <v>55</v>
      </c>
      <c r="R11" s="75" t="s">
        <v>55</v>
      </c>
      <c r="S11" s="75" t="s">
        <v>55</v>
      </c>
      <c r="T11" s="104" t="e">
        <v>#REF!</v>
      </c>
      <c r="U11" s="102"/>
      <c r="V11" s="16"/>
      <c r="W11" s="12"/>
      <c r="X11" s="12"/>
      <c r="Y11" s="341"/>
      <c r="Z11" s="12"/>
      <c r="AA11" s="15"/>
      <c r="AB11" s="11"/>
      <c r="AC11" s="23"/>
      <c r="AD11" s="17"/>
      <c r="AE11" s="16" t="s">
        <v>120</v>
      </c>
      <c r="AF11" s="11" t="s">
        <v>123</v>
      </c>
      <c r="AG11" s="18" t="s">
        <v>126</v>
      </c>
      <c r="AH11" s="18" t="s">
        <v>128</v>
      </c>
      <c r="AI11" s="18">
        <v>1</v>
      </c>
      <c r="AJ11" s="15"/>
      <c r="AK11" s="342" t="e">
        <v>#REF!</v>
      </c>
      <c r="AL11" s="19">
        <v>0.16300000000000001</v>
      </c>
      <c r="AM11" s="91">
        <v>0.16300000000000001</v>
      </c>
      <c r="AN11" s="20"/>
      <c r="AO11" s="87" t="s">
        <v>56</v>
      </c>
      <c r="AP11" s="25"/>
      <c r="AQ11" s="25"/>
      <c r="AR11" s="25"/>
      <c r="AS11" s="14"/>
      <c r="AT11" s="159" t="s">
        <v>57</v>
      </c>
      <c r="AU11" s="354"/>
      <c r="AV11" s="355"/>
      <c r="AW11" s="356"/>
      <c r="AX11" s="357"/>
      <c r="AY11" s="357"/>
      <c r="AZ11" s="357"/>
      <c r="BA11" s="357"/>
      <c r="BB11" s="357"/>
      <c r="BC11" s="354"/>
      <c r="BD11" s="13"/>
      <c r="BE11" s="100"/>
      <c r="BF11" s="344"/>
      <c r="BG11" s="27"/>
      <c r="BH11" s="20"/>
      <c r="BI11" s="21">
        <v>45240</v>
      </c>
      <c r="BJ11" s="22">
        <v>45240</v>
      </c>
      <c r="BK11" s="23"/>
      <c r="BL11" s="20"/>
      <c r="BM11" s="21" t="s">
        <v>59</v>
      </c>
      <c r="BN11" s="22" t="s">
        <v>60</v>
      </c>
      <c r="BO11" s="83" t="e">
        <v>#REF!</v>
      </c>
      <c r="BP11" s="83" t="e">
        <v>#REF!</v>
      </c>
      <c r="BQ11" s="22" t="s">
        <v>61</v>
      </c>
      <c r="BR11" s="22" t="s">
        <v>54</v>
      </c>
      <c r="BS11" s="24">
        <v>91907496</v>
      </c>
      <c r="BT11" s="358" t="s">
        <v>0</v>
      </c>
      <c r="BU11" s="339" t="e">
        <v>#REF!</v>
      </c>
      <c r="BV11" s="339">
        <v>0</v>
      </c>
      <c r="BW11" s="339"/>
      <c r="BX11" s="339" t="s">
        <v>54</v>
      </c>
      <c r="BY11" s="339" t="e">
        <v>#REF!</v>
      </c>
      <c r="BZ11" s="158"/>
      <c r="CA11" s="158" t="e">
        <v>#REF!</v>
      </c>
      <c r="CB11" s="158"/>
      <c r="CC11" s="158"/>
      <c r="CD11" s="158" t="s">
        <v>0</v>
      </c>
      <c r="CI11" s="115"/>
      <c r="CJ11" s="115"/>
      <c r="CK11" s="248"/>
      <c r="CL11" s="248"/>
      <c r="CM11" s="248"/>
      <c r="CN11" s="2" t="s">
        <v>0</v>
      </c>
      <c r="CO11" s="41"/>
    </row>
    <row r="12" spans="1:93" s="41" customFormat="1" ht="15" customHeight="1" x14ac:dyDescent="0.3">
      <c r="A12" s="114"/>
      <c r="B12" s="143">
        <v>8</v>
      </c>
      <c r="C12" s="348"/>
      <c r="D12" s="48"/>
      <c r="E12" s="56"/>
      <c r="F12" s="60" t="s">
        <v>134</v>
      </c>
      <c r="G12" s="66" t="s">
        <v>137</v>
      </c>
      <c r="H12" s="66"/>
      <c r="I12" s="66" t="s">
        <v>138</v>
      </c>
      <c r="J12" s="56"/>
      <c r="K12" s="241"/>
      <c r="L12" s="66"/>
      <c r="M12" s="106" t="s">
        <v>139</v>
      </c>
      <c r="N12" s="49" t="s">
        <v>150</v>
      </c>
      <c r="O12" s="93"/>
      <c r="P12" s="75"/>
      <c r="Q12" s="75" t="s">
        <v>55</v>
      </c>
      <c r="R12" s="75" t="s">
        <v>55</v>
      </c>
      <c r="S12" s="75" t="s">
        <v>55</v>
      </c>
      <c r="T12" s="104" t="e">
        <v>#REF!</v>
      </c>
      <c r="U12" s="107"/>
      <c r="V12" s="49"/>
      <c r="W12" s="44"/>
      <c r="X12" s="44"/>
      <c r="Y12" s="349"/>
      <c r="Z12" s="44"/>
      <c r="AA12" s="61"/>
      <c r="AB12" s="44"/>
      <c r="AC12" s="93"/>
      <c r="AD12" s="62"/>
      <c r="AE12" s="49" t="s">
        <v>66</v>
      </c>
      <c r="AF12" s="44" t="s">
        <v>1</v>
      </c>
      <c r="AG12" s="63">
        <v>7850</v>
      </c>
      <c r="AH12" s="63">
        <v>0</v>
      </c>
      <c r="AI12" s="63">
        <v>1</v>
      </c>
      <c r="AJ12" s="108"/>
      <c r="AK12" s="109" t="e">
        <v>#REF!</v>
      </c>
      <c r="AL12" s="64">
        <v>4.2999999999999997E-2</v>
      </c>
      <c r="AM12" s="350">
        <v>4.2999999999999997E-2</v>
      </c>
      <c r="AN12" s="65"/>
      <c r="AO12" s="110" t="s">
        <v>56</v>
      </c>
      <c r="AP12" s="105"/>
      <c r="AQ12" s="105"/>
      <c r="AR12" s="105"/>
      <c r="AS12" s="153"/>
      <c r="AT12" s="281"/>
      <c r="AU12" s="61"/>
      <c r="AV12" s="154"/>
      <c r="AW12" s="112"/>
      <c r="AX12" s="82"/>
      <c r="AY12" s="82"/>
      <c r="AZ12" s="82"/>
      <c r="BA12" s="82"/>
      <c r="BB12" s="82"/>
      <c r="BC12" s="61"/>
      <c r="BD12" s="153"/>
      <c r="BE12" s="112"/>
      <c r="BF12" s="155"/>
      <c r="BG12" s="76"/>
      <c r="BH12" s="65"/>
      <c r="BI12" s="113" t="s">
        <v>0</v>
      </c>
      <c r="BJ12" s="351" t="s">
        <v>0</v>
      </c>
      <c r="BK12" s="76"/>
      <c r="BL12" s="65"/>
      <c r="BM12" s="113" t="s">
        <v>0</v>
      </c>
      <c r="BN12" s="351" t="s">
        <v>0</v>
      </c>
      <c r="BO12" s="82" t="e">
        <v>#REF!</v>
      </c>
      <c r="BP12" s="82" t="e">
        <v>#REF!</v>
      </c>
      <c r="BQ12" s="351" t="s">
        <v>0</v>
      </c>
      <c r="BR12" s="352" t="s">
        <v>0</v>
      </c>
      <c r="BS12" s="351" t="s">
        <v>0</v>
      </c>
      <c r="BT12" s="359" t="s">
        <v>0</v>
      </c>
      <c r="BU12" s="111" t="e">
        <v>#REF!</v>
      </c>
      <c r="BV12" s="111">
        <v>0</v>
      </c>
      <c r="BW12" s="111"/>
      <c r="BX12" s="111"/>
      <c r="BY12" s="111" t="e">
        <v>#REF!</v>
      </c>
      <c r="BZ12" s="158"/>
      <c r="CA12" s="158"/>
      <c r="CB12" s="158"/>
      <c r="CC12" s="158"/>
      <c r="CD12" s="158" t="s">
        <v>0</v>
      </c>
      <c r="CE12" s="39"/>
      <c r="CF12" s="39"/>
      <c r="CG12" s="39"/>
      <c r="CH12" s="39"/>
      <c r="CI12" s="105"/>
      <c r="CJ12" s="105"/>
      <c r="CK12" s="105"/>
      <c r="CL12" s="105"/>
      <c r="CM12" s="105"/>
      <c r="CN12" s="308" t="s">
        <v>0</v>
      </c>
      <c r="CO12" s="39"/>
    </row>
    <row r="13" spans="1:93" ht="12" customHeight="1" x14ac:dyDescent="0.3">
      <c r="N13" t="s">
        <v>1</v>
      </c>
    </row>
    <row r="18" spans="14:66" ht="15" customHeight="1" x14ac:dyDescent="0.3">
      <c r="BN18" t="s">
        <v>1</v>
      </c>
    </row>
    <row r="20" spans="14:66" ht="15" customHeight="1" x14ac:dyDescent="0.3">
      <c r="N20" t="s">
        <v>1</v>
      </c>
      <c r="P20" t="s">
        <v>1</v>
      </c>
    </row>
    <row r="22" spans="14:66" ht="15" customHeight="1" x14ac:dyDescent="0.3">
      <c r="N22" t="s">
        <v>1</v>
      </c>
    </row>
    <row r="46" spans="9:9" ht="15" customHeight="1" x14ac:dyDescent="0.3">
      <c r="I46" t="s">
        <v>1</v>
      </c>
    </row>
  </sheetData>
  <autoFilter ref="A4:CO13" xr:uid="{A7AF5FB4-80B5-490D-99C7-DBD137568980}"/>
  <sortState xmlns:xlrd2="http://schemas.microsoft.com/office/spreadsheetml/2017/richdata2" ref="A5:CG12">
    <sortCondition ref="B1:B13"/>
  </sortState>
  <phoneticPr fontId="19" type="noConversion"/>
  <conditionalFormatting sqref="G5:H12">
    <cfRule type="duplicateValues" dxfId="40" priority="15980"/>
  </conditionalFormatting>
  <conditionalFormatting sqref="P2:P3 T5:T12">
    <cfRule type="containsText" dxfId="39" priority="7025" operator="containsText" text="Prototypenstand">
      <formula>NOT(ISERROR(SEARCH("Prototypenstand",P2)))</formula>
    </cfRule>
    <cfRule type="containsText" dxfId="38" priority="7026" operator="containsText" text="Arbeitsstand">
      <formula>NOT(ISERROR(SEARCH("Arbeitsstand",P2)))</formula>
    </cfRule>
    <cfRule type="containsText" dxfId="37" priority="7027" operator="containsText" text="Anfragestand">
      <formula>NOT(ISERROR(SEARCH("Anfragestand",P2)))</formula>
    </cfRule>
    <cfRule type="containsText" dxfId="36" priority="7028" operator="containsText" text="Freigabestand">
      <formula>NOT(ISERROR(SEARCH("Freigabestand",P2)))</formula>
    </cfRule>
  </conditionalFormatting>
  <conditionalFormatting sqref="P5:P6 P8:S9">
    <cfRule type="containsText" dxfId="35" priority="12833" operator="containsText" text="Freigabestand">
      <formula>NOT(ISERROR(SEARCH("Freigabestand",P5)))</formula>
    </cfRule>
  </conditionalFormatting>
  <conditionalFormatting sqref="P5:P7">
    <cfRule type="containsText" dxfId="34" priority="4906" operator="containsText" text="Anfragestand">
      <formula>NOT(ISERROR(SEARCH("Anfragestand",P5)))</formula>
    </cfRule>
  </conditionalFormatting>
  <conditionalFormatting sqref="P7">
    <cfRule type="containsText" dxfId="33" priority="4907" operator="containsText" text="Freigabestand">
      <formula>NOT(ISERROR(SEARCH("Freigabestand",P7)))</formula>
    </cfRule>
  </conditionalFormatting>
  <conditionalFormatting sqref="P10">
    <cfRule type="containsText" dxfId="32" priority="4912" operator="containsText" text="Freigabestand">
      <formula>NOT(ISERROR(SEARCH("Freigabestand",P10)))</formula>
    </cfRule>
    <cfRule type="containsText" dxfId="31" priority="4910" operator="containsText" text="Arbeitsstand">
      <formula>NOT(ISERROR(SEARCH("Arbeitsstand",P10)))</formula>
    </cfRule>
    <cfRule type="containsText" dxfId="30" priority="4911" operator="containsText" text="Anfragestand">
      <formula>NOT(ISERROR(SEARCH("Anfragestand",P10)))</formula>
    </cfRule>
  </conditionalFormatting>
  <conditionalFormatting sqref="P11:P12">
    <cfRule type="containsText" dxfId="29" priority="4333" operator="containsText" text="Prototypenstand">
      <formula>NOT(ISERROR(SEARCH("Prototypenstand",P11)))</formula>
    </cfRule>
    <cfRule type="containsText" dxfId="28" priority="4334" operator="containsText" text="Arbeitsstand">
      <formula>NOT(ISERROR(SEARCH("Arbeitsstand",P11)))</formula>
    </cfRule>
    <cfRule type="containsText" dxfId="27" priority="4335" operator="containsText" text="Anfragestand">
      <formula>NOT(ISERROR(SEARCH("Anfragestand",P11)))</formula>
    </cfRule>
    <cfRule type="containsText" dxfId="26" priority="4336" operator="containsText" text="Freigabestand">
      <formula>NOT(ISERROR(SEARCH("Freigabestand",P11)))</formula>
    </cfRule>
  </conditionalFormatting>
  <conditionalFormatting sqref="P10:Q10">
    <cfRule type="containsText" dxfId="25" priority="4909" operator="containsText" text="Prototypenstand">
      <formula>NOT(ISERROR(SEARCH("Prototypenstand",P10)))</formula>
    </cfRule>
  </conditionalFormatting>
  <conditionalFormatting sqref="P5:S6 P12:S12 Q10:S11">
    <cfRule type="containsText" dxfId="24" priority="13467" operator="containsText" text="Prototypenstand">
      <formula>NOT(ISERROR(SEARCH("Prototypenstand",P5)))</formula>
    </cfRule>
  </conditionalFormatting>
  <conditionalFormatting sqref="P5:S6 Q7:S7 Q10:S11 P12:S12">
    <cfRule type="containsText" dxfId="23" priority="13474" operator="containsText" text="Freigabestand">
      <formula>NOT(ISERROR(SEARCH("Freigabestand",P5)))</formula>
    </cfRule>
  </conditionalFormatting>
  <conditionalFormatting sqref="P5:S6 Q10:S11 P12:S12 Q7:S7">
    <cfRule type="containsText" dxfId="22" priority="13473" operator="containsText" text="Anfragestand">
      <formula>NOT(ISERROR(SEARCH("Anfragestand",P5)))</formula>
    </cfRule>
  </conditionalFormatting>
  <conditionalFormatting sqref="P5:S6 Q10:S11 P12:S12">
    <cfRule type="containsText" dxfId="21" priority="13472" operator="containsText" text="Arbeitsstand">
      <formula>NOT(ISERROR(SEARCH("Arbeitsstand",P5)))</formula>
    </cfRule>
  </conditionalFormatting>
  <conditionalFormatting sqref="P7:S7">
    <cfRule type="containsText" dxfId="20" priority="4904" operator="containsText" text="Prototypenstand">
      <formula>NOT(ISERROR(SEARCH("Prototypenstand",P7)))</formula>
    </cfRule>
    <cfRule type="containsText" dxfId="19" priority="4905" operator="containsText" text="Arbeitsstand">
      <formula>NOT(ISERROR(SEARCH("Arbeitsstand",P7)))</formula>
    </cfRule>
  </conditionalFormatting>
  <conditionalFormatting sqref="P8:S9 P5:P6">
    <cfRule type="containsText" dxfId="18" priority="12831" operator="containsText" text="Arbeitsstand">
      <formula>NOT(ISERROR(SEARCH("Arbeitsstand",P5)))</formula>
    </cfRule>
  </conditionalFormatting>
  <conditionalFormatting sqref="P8:S9">
    <cfRule type="containsText" dxfId="17" priority="12804" operator="containsText" text="Anfragestand">
      <formula>NOT(ISERROR(SEARCH("Anfragestand",P8)))</formula>
    </cfRule>
    <cfRule type="containsText" dxfId="16" priority="13471" operator="containsText" text="Prototypenstand">
      <formula>NOT(ISERROR(SEARCH("Prototypenstand",P8)))</formula>
    </cfRule>
  </conditionalFormatting>
  <conditionalFormatting sqref="Q11">
    <cfRule type="containsText" dxfId="15" priority="4337" operator="containsText" text="Prototypenstand">
      <formula>NOT(ISERROR(SEARCH("Prototypenstand",Q11)))</formula>
    </cfRule>
  </conditionalFormatting>
  <conditionalFormatting sqref="Q1:T3">
    <cfRule type="containsText" dxfId="14" priority="13089" operator="containsText" text="Prototypenstand">
      <formula>NOT(ISERROR(SEARCH("Prototypenstand",Q1)))</formula>
    </cfRule>
    <cfRule type="containsText" dxfId="13" priority="13090" operator="containsText" text="Arbeitsstand">
      <formula>NOT(ISERROR(SEARCH("Arbeitsstand",Q1)))</formula>
    </cfRule>
    <cfRule type="containsText" dxfId="12" priority="13091" operator="containsText" text="Anfragestand">
      <formula>NOT(ISERROR(SEARCH("Anfragestand",Q1)))</formula>
    </cfRule>
    <cfRule type="containsText" dxfId="11" priority="13092" operator="containsText" text="Freigabestand">
      <formula>NOT(ISERROR(SEARCH("Freigabestand",Q1)))</formula>
    </cfRule>
  </conditionalFormatting>
  <conditionalFormatting sqref="T5:T12">
    <cfRule type="containsText" dxfId="10" priority="11660" operator="containsText" text="BANF">
      <formula>NOT(ISERROR(SEARCH("BANF",T5)))</formula>
    </cfRule>
    <cfRule type="containsText" dxfId="9" priority="11659" operator="containsText" text="Sufficient Stock">
      <formula>NOT(ISERROR(SEARCH("Sufficient Stock",T5)))</formula>
    </cfRule>
    <cfRule type="containsText" dxfId="8" priority="11661" operator="containsText" text="KEIN EKU">
      <formula>NOT(ISERROR(SEARCH("KEIN EKU",T5)))</formula>
    </cfRule>
    <cfRule type="containsText" dxfId="7" priority="11662" operator="containsText" text="ENTFALLEN">
      <formula>NOT(ISERROR(SEARCH("ENTFALLEN",T5)))</formula>
    </cfRule>
    <cfRule type="containsText" dxfId="6" priority="11663" operator="containsText" text="BESTELLT">
      <formula>NOT(ISERROR(SEARCH("BESTELLT",T5)))</formula>
    </cfRule>
    <cfRule type="containsText" dxfId="5" priority="11664" operator="containsText" text="Unbekannt">
      <formula>NOT(ISERROR(SEARCH("Unbekannt",T5)))</formula>
    </cfRule>
  </conditionalFormatting>
  <conditionalFormatting sqref="BD5:BD12">
    <cfRule type="cellIs" dxfId="4" priority="815" operator="lessThan">
      <formula>#REF!</formula>
    </cfRule>
    <cfRule type="cellIs" dxfId="3" priority="813" operator="greaterThan">
      <formula>#REF!</formula>
    </cfRule>
    <cfRule type="cellIs" dxfId="2" priority="814" operator="equal">
      <formula>0</formula>
    </cfRule>
  </conditionalFormatting>
  <conditionalFormatting sqref="BY1:BY3 BY5:BY15 CA9:CC12 BY17:BY1048576">
    <cfRule type="cellIs" dxfId="1" priority="812" operator="lessThan">
      <formula>0</formula>
    </cfRule>
  </conditionalFormatting>
  <dataValidations count="2">
    <dataValidation type="list" allowBlank="1" showInputMessage="1" showErrorMessage="1" sqref="V6:V12" xr:uid="{91AB8E5B-2B90-4D61-BA2F-79D0F0F268CE}">
      <formula1>"Aufbau,Antrieb,Fahrwerk"</formula1>
    </dataValidation>
    <dataValidation type="list" allowBlank="1" showInputMessage="1" showErrorMessage="1" sqref="BQ5:BQ12 BM5:BN12 AJ5:AJ12 Z6:Z12" xr:uid="{7315349B-9D45-4603-9B16-9E3655CF00AC}">
      <formula1>#REF!</formula1>
    </dataValidation>
  </dataValidations>
  <pageMargins left="0.7" right="0.7" top="0.78740157499999996" bottom="0.78740157499999996" header="0.3" footer="0.3"/>
  <pageSetup paperSize="9" scale="1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C97D2-C208-4F99-B55F-D5255A6CFCAA}">
  <dimension ref="A2:AI10"/>
  <sheetViews>
    <sheetView workbookViewId="0"/>
  </sheetViews>
  <sheetFormatPr baseColWidth="10" defaultColWidth="11.44140625" defaultRowHeight="14.4" x14ac:dyDescent="0.3"/>
  <cols>
    <col min="1" max="1" width="16.44140625" bestFit="1" customWidth="1"/>
    <col min="2" max="2" width="18.44140625" bestFit="1" customWidth="1"/>
    <col min="3" max="3" width="19" bestFit="1" customWidth="1"/>
    <col min="4" max="4" width="16.44140625" bestFit="1" customWidth="1"/>
    <col min="5" max="6" width="10.44140625" bestFit="1" customWidth="1"/>
    <col min="7" max="7" width="10.44140625" customWidth="1"/>
    <col min="8" max="8" width="12.5546875" bestFit="1" customWidth="1"/>
    <col min="9" max="9" width="14.44140625" bestFit="1" customWidth="1"/>
    <col min="10" max="10" width="10.44140625" bestFit="1" customWidth="1"/>
    <col min="11" max="11" width="14.44140625" bestFit="1" customWidth="1"/>
    <col min="12" max="12" width="10.44140625" bestFit="1" customWidth="1"/>
    <col min="13" max="13" width="14.44140625" bestFit="1" customWidth="1"/>
    <col min="14" max="14" width="10.44140625" bestFit="1" customWidth="1"/>
    <col min="15" max="15" width="14.44140625" bestFit="1" customWidth="1"/>
    <col min="16" max="16" width="10.44140625" bestFit="1" customWidth="1"/>
    <col min="17" max="17" width="14.44140625" bestFit="1" customWidth="1"/>
    <col min="18" max="18" width="10.44140625" bestFit="1" customWidth="1"/>
    <col min="19" max="19" width="14.44140625" bestFit="1" customWidth="1"/>
    <col min="20" max="20" width="10.44140625" bestFit="1" customWidth="1"/>
    <col min="21" max="21" width="14.44140625" bestFit="1" customWidth="1"/>
    <col min="22" max="22" width="10.44140625" bestFit="1" customWidth="1"/>
    <col min="23" max="23" width="14.44140625" bestFit="1" customWidth="1"/>
    <col min="24" max="24" width="10.44140625" bestFit="1" customWidth="1"/>
    <col min="25" max="25" width="14.44140625" bestFit="1" customWidth="1"/>
    <col min="26" max="26" width="10.44140625" bestFit="1" customWidth="1"/>
    <col min="27" max="27" width="14.44140625" bestFit="1" customWidth="1"/>
    <col min="28" max="28" width="10.44140625" bestFit="1" customWidth="1"/>
    <col min="29" max="29" width="14.44140625" bestFit="1" customWidth="1"/>
    <col min="30" max="30" width="10.44140625" bestFit="1" customWidth="1"/>
    <col min="31" max="31" width="14.44140625" bestFit="1" customWidth="1"/>
    <col min="32" max="32" width="10.44140625" bestFit="1" customWidth="1"/>
    <col min="33" max="33" width="14.44140625" bestFit="1" customWidth="1"/>
    <col min="34" max="35" width="10.44140625" bestFit="1" customWidth="1"/>
  </cols>
  <sheetData>
    <row r="2" spans="1:35" x14ac:dyDescent="0.3">
      <c r="D2" t="s">
        <v>106</v>
      </c>
    </row>
    <row r="3" spans="1:35" x14ac:dyDescent="0.3">
      <c r="D3">
        <v>10</v>
      </c>
    </row>
    <row r="4" spans="1:35" x14ac:dyDescent="0.3">
      <c r="D4" s="360">
        <v>45292</v>
      </c>
      <c r="E4" s="361"/>
      <c r="F4" s="361"/>
      <c r="G4" s="361"/>
      <c r="H4" s="362"/>
      <c r="I4" s="116">
        <f>D4+7</f>
        <v>45299</v>
      </c>
      <c r="J4" s="116">
        <f>F4+7</f>
        <v>7</v>
      </c>
      <c r="K4" s="116">
        <f t="shared" ref="K4:T5" si="0">I4+7</f>
        <v>45306</v>
      </c>
      <c r="L4" s="116">
        <f t="shared" si="0"/>
        <v>14</v>
      </c>
      <c r="M4" s="116">
        <f t="shared" si="0"/>
        <v>45313</v>
      </c>
      <c r="N4" s="116">
        <f t="shared" si="0"/>
        <v>21</v>
      </c>
      <c r="O4" s="116">
        <f t="shared" si="0"/>
        <v>45320</v>
      </c>
      <c r="P4" s="116">
        <f t="shared" si="0"/>
        <v>28</v>
      </c>
      <c r="Q4" s="116">
        <f t="shared" si="0"/>
        <v>45327</v>
      </c>
      <c r="R4" s="116">
        <f t="shared" si="0"/>
        <v>35</v>
      </c>
      <c r="S4" s="116">
        <f t="shared" si="0"/>
        <v>45334</v>
      </c>
      <c r="T4" s="116">
        <f t="shared" si="0"/>
        <v>42</v>
      </c>
      <c r="U4" s="116">
        <f t="shared" ref="U4:AD5" si="1">S4+7</f>
        <v>45341</v>
      </c>
      <c r="V4" s="116">
        <f t="shared" si="1"/>
        <v>49</v>
      </c>
      <c r="W4" s="116">
        <f t="shared" si="1"/>
        <v>45348</v>
      </c>
      <c r="X4" s="116">
        <f t="shared" si="1"/>
        <v>56</v>
      </c>
      <c r="Y4" s="116">
        <f t="shared" si="1"/>
        <v>45355</v>
      </c>
      <c r="Z4" s="116">
        <f t="shared" si="1"/>
        <v>63</v>
      </c>
      <c r="AA4" s="116">
        <f t="shared" si="1"/>
        <v>45362</v>
      </c>
      <c r="AB4" s="116">
        <f t="shared" si="1"/>
        <v>70</v>
      </c>
      <c r="AC4" s="116">
        <f t="shared" si="1"/>
        <v>45369</v>
      </c>
      <c r="AD4" s="116">
        <f t="shared" si="1"/>
        <v>77</v>
      </c>
      <c r="AE4" s="116">
        <f t="shared" ref="AE4:AI5" si="2">AC4+7</f>
        <v>45376</v>
      </c>
      <c r="AF4" s="116">
        <f t="shared" si="2"/>
        <v>84</v>
      </c>
      <c r="AG4" s="116">
        <f t="shared" si="2"/>
        <v>45383</v>
      </c>
      <c r="AH4" s="116">
        <f t="shared" si="2"/>
        <v>91</v>
      </c>
      <c r="AI4" s="116">
        <f t="shared" si="2"/>
        <v>45390</v>
      </c>
    </row>
    <row r="5" spans="1:35" x14ac:dyDescent="0.3">
      <c r="D5" s="363">
        <v>45296</v>
      </c>
      <c r="E5" s="364"/>
      <c r="F5" s="364"/>
      <c r="G5" s="364"/>
      <c r="H5" s="365"/>
      <c r="I5" s="116">
        <f>D5+7</f>
        <v>45303</v>
      </c>
      <c r="J5" s="116">
        <f>F5+7</f>
        <v>7</v>
      </c>
      <c r="K5" s="116">
        <f t="shared" si="0"/>
        <v>45310</v>
      </c>
      <c r="L5" s="116">
        <f t="shared" si="0"/>
        <v>14</v>
      </c>
      <c r="M5" s="116">
        <f t="shared" si="0"/>
        <v>45317</v>
      </c>
      <c r="N5" s="116">
        <f t="shared" si="0"/>
        <v>21</v>
      </c>
      <c r="O5" s="116">
        <f t="shared" si="0"/>
        <v>45324</v>
      </c>
      <c r="P5" s="116">
        <f t="shared" si="0"/>
        <v>28</v>
      </c>
      <c r="Q5" s="116">
        <f t="shared" si="0"/>
        <v>45331</v>
      </c>
      <c r="R5" s="116">
        <f t="shared" si="0"/>
        <v>35</v>
      </c>
      <c r="S5" s="116">
        <f t="shared" si="0"/>
        <v>45338</v>
      </c>
      <c r="T5" s="116">
        <f t="shared" si="0"/>
        <v>42</v>
      </c>
      <c r="U5" s="116">
        <f t="shared" si="1"/>
        <v>45345</v>
      </c>
      <c r="V5" s="116">
        <f t="shared" si="1"/>
        <v>49</v>
      </c>
      <c r="W5" s="116">
        <f t="shared" si="1"/>
        <v>45352</v>
      </c>
      <c r="X5" s="116">
        <f t="shared" si="1"/>
        <v>56</v>
      </c>
      <c r="Y5" s="116">
        <f t="shared" si="1"/>
        <v>45359</v>
      </c>
      <c r="Z5" s="116">
        <f t="shared" si="1"/>
        <v>63</v>
      </c>
      <c r="AA5" s="116">
        <f t="shared" si="1"/>
        <v>45366</v>
      </c>
      <c r="AB5" s="116">
        <f t="shared" si="1"/>
        <v>70</v>
      </c>
      <c r="AC5" s="116">
        <f t="shared" si="1"/>
        <v>45373</v>
      </c>
      <c r="AD5" s="116">
        <f t="shared" si="1"/>
        <v>77</v>
      </c>
      <c r="AE5" s="116">
        <f t="shared" si="2"/>
        <v>45380</v>
      </c>
      <c r="AF5" s="116">
        <f t="shared" si="2"/>
        <v>84</v>
      </c>
      <c r="AG5" s="116">
        <f t="shared" si="2"/>
        <v>45387</v>
      </c>
      <c r="AH5" s="116">
        <f t="shared" si="2"/>
        <v>91</v>
      </c>
      <c r="AI5" s="116">
        <f t="shared" si="2"/>
        <v>45394</v>
      </c>
    </row>
    <row r="6" spans="1:35" s="41" customFormat="1" x14ac:dyDescent="0.3">
      <c r="A6" s="41" t="s">
        <v>107</v>
      </c>
      <c r="B6" s="41" t="s">
        <v>108</v>
      </c>
      <c r="C6" s="41" t="s">
        <v>109</v>
      </c>
      <c r="D6" s="41" t="s">
        <v>105</v>
      </c>
      <c r="E6" s="41" t="s">
        <v>110</v>
      </c>
      <c r="F6" s="41" t="s">
        <v>69</v>
      </c>
      <c r="G6" s="41" t="s">
        <v>111</v>
      </c>
      <c r="H6" s="41" t="s">
        <v>112</v>
      </c>
      <c r="I6" s="41" t="s">
        <v>113</v>
      </c>
      <c r="J6" s="41" t="s">
        <v>69</v>
      </c>
      <c r="K6" s="41" t="s">
        <v>113</v>
      </c>
      <c r="L6" s="41" t="s">
        <v>69</v>
      </c>
      <c r="M6" s="41" t="s">
        <v>113</v>
      </c>
      <c r="N6" s="41" t="s">
        <v>69</v>
      </c>
      <c r="O6" s="41" t="s">
        <v>113</v>
      </c>
      <c r="P6" s="41" t="s">
        <v>69</v>
      </c>
      <c r="Q6" s="41" t="s">
        <v>113</v>
      </c>
      <c r="R6" s="41" t="s">
        <v>69</v>
      </c>
      <c r="S6" s="41" t="s">
        <v>113</v>
      </c>
      <c r="T6" s="41" t="s">
        <v>69</v>
      </c>
      <c r="U6" s="41" t="s">
        <v>113</v>
      </c>
      <c r="V6" s="41" t="s">
        <v>69</v>
      </c>
      <c r="W6" s="41" t="s">
        <v>113</v>
      </c>
      <c r="X6" s="41" t="s">
        <v>69</v>
      </c>
      <c r="Y6" s="41" t="s">
        <v>113</v>
      </c>
      <c r="Z6" s="41" t="s">
        <v>69</v>
      </c>
      <c r="AA6" s="41" t="s">
        <v>113</v>
      </c>
      <c r="AB6" s="41" t="s">
        <v>69</v>
      </c>
      <c r="AC6" s="41" t="s">
        <v>113</v>
      </c>
      <c r="AD6" s="41" t="s">
        <v>69</v>
      </c>
      <c r="AE6" s="41" t="s">
        <v>113</v>
      </c>
      <c r="AF6" s="41" t="s">
        <v>69</v>
      </c>
      <c r="AG6" s="41" t="s">
        <v>113</v>
      </c>
      <c r="AH6" s="41" t="s">
        <v>69</v>
      </c>
    </row>
    <row r="7" spans="1:35" x14ac:dyDescent="0.3">
      <c r="C7">
        <v>1</v>
      </c>
      <c r="D7">
        <v>0</v>
      </c>
      <c r="E7">
        <v>5</v>
      </c>
      <c r="F7">
        <v>20</v>
      </c>
      <c r="G7">
        <f>C7*$D$3</f>
        <v>10</v>
      </c>
      <c r="H7">
        <f>D7+F7-G7</f>
        <v>10</v>
      </c>
    </row>
    <row r="8" spans="1:35" x14ac:dyDescent="0.3">
      <c r="C8">
        <v>2</v>
      </c>
      <c r="D8">
        <v>0</v>
      </c>
      <c r="E8">
        <v>10</v>
      </c>
      <c r="F8">
        <v>0</v>
      </c>
      <c r="G8">
        <f t="shared" ref="G8:G10" si="3">C8*$D$3</f>
        <v>20</v>
      </c>
      <c r="H8">
        <f t="shared" ref="H8:H10" si="4">D8+F8-G8</f>
        <v>-20</v>
      </c>
    </row>
    <row r="9" spans="1:35" x14ac:dyDescent="0.3">
      <c r="C9">
        <v>5</v>
      </c>
      <c r="G9">
        <f t="shared" si="3"/>
        <v>50</v>
      </c>
      <c r="H9">
        <f t="shared" si="4"/>
        <v>-50</v>
      </c>
    </row>
    <row r="10" spans="1:35" x14ac:dyDescent="0.3">
      <c r="C10">
        <v>10</v>
      </c>
      <c r="G10">
        <f t="shared" si="3"/>
        <v>100</v>
      </c>
      <c r="H10">
        <f t="shared" si="4"/>
        <v>-100</v>
      </c>
    </row>
  </sheetData>
  <mergeCells count="2">
    <mergeCell ref="D4:H4"/>
    <mergeCell ref="D5:H5"/>
  </mergeCells>
  <conditionalFormatting sqref="H7:H10">
    <cfRule type="cellIs" dxfId="0" priority="1" operator="lessThan">
      <formula>0</formula>
    </cfRule>
  </conditionalFormatting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B5CBD0AA44A743995420F6930113A1" ma:contentTypeVersion="10" ma:contentTypeDescription="Create a new document." ma:contentTypeScope="" ma:versionID="a5aea11160ffc66beaa74ed88a7102a7">
  <xsd:schema xmlns:xsd="http://www.w3.org/2001/XMLSchema" xmlns:xs="http://www.w3.org/2001/XMLSchema" xmlns:p="http://schemas.microsoft.com/office/2006/metadata/properties" xmlns:ns2="d9079aea-ed8a-47ff-be1f-05d891e7bea7" targetNamespace="http://schemas.microsoft.com/office/2006/metadata/properties" ma:root="true" ma:fieldsID="05d7a1f4c47bcb17ab73215845b93699" ns2:_="">
    <xsd:import namespace="d9079aea-ed8a-47ff-be1f-05d891e7be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079aea-ed8a-47ff-be1f-05d891e7be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263f607-187b-43f3-9aa6-c4ac18e07f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9079aea-ed8a-47ff-be1f-05d891e7bea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CEDFCE-78C1-42C6-B38B-D6BC6AF2C6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079aea-ed8a-47ff-be1f-05d891e7be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6BDFD7-1ED0-47D5-90F4-0E4BD4E5490B}">
  <ds:schemaRefs>
    <ds:schemaRef ds:uri="http://schemas.microsoft.com/office/2006/metadata/properties"/>
    <ds:schemaRef ds:uri="http://schemas.microsoft.com/office/infopath/2007/PartnerControls"/>
    <ds:schemaRef ds:uri="d9079aea-ed8a-47ff-be1f-05d891e7bea7"/>
  </ds:schemaRefs>
</ds:datastoreItem>
</file>

<file path=customXml/itemProps3.xml><?xml version="1.0" encoding="utf-8"?>
<ds:datastoreItem xmlns:ds="http://schemas.openxmlformats.org/officeDocument/2006/customXml" ds:itemID="{6DA5CA93-E7E9-46CC-8F28-B4F7B6E764A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V1.0</vt:lpstr>
      <vt:lpstr>Tabelle2</vt:lpstr>
    </vt:vector>
  </TitlesOfParts>
  <Manager/>
  <Company>Mubea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Franke, Felix</dc:creator>
  <cp:keywords/>
  <dc:description/>
  <cp:lastModifiedBy>Johannes Kapitza</cp:lastModifiedBy>
  <cp:revision>343</cp:revision>
  <dcterms:created xsi:type="dcterms:W3CDTF">2019-10-29T14:17:58Z</dcterms:created>
  <dcterms:modified xsi:type="dcterms:W3CDTF">2025-12-16T14:04:49Z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Mubea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_NewReviewCycle">
    <vt:lpwstr/>
  </property>
  <property fmtid="{D5CDD505-2E9C-101B-9397-08002B2CF9AE}" pid="10" name="ContentTypeId">
    <vt:lpwstr>0x010100E4B5CBD0AA44A743995420F6930113A1</vt:lpwstr>
  </property>
  <property fmtid="{D5CDD505-2E9C-101B-9397-08002B2CF9AE}" pid="11" name="MediaServiceImageTags">
    <vt:lpwstr/>
  </property>
</Properties>
</file>